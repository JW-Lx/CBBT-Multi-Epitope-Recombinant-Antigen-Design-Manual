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引物合成订购表" sheetId="1" r:id="rId1"/>
    <sheet name="修饰名称" sheetId="5" state="hidden" r:id="rId2"/>
    <sheet name="帮助" sheetId="9" r:id="rId3"/>
    <sheet name="填写示例" sheetId="6" r:id="rId4"/>
  </sheets>
  <definedNames>
    <definedName name="_3’端修饰">修饰名称!$B$2:$B$49</definedName>
    <definedName name="_5’端修饰">修饰名称!$A$2:$A$49</definedName>
    <definedName name="两端修饰">修饰名称!$C$2:$C$50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  <author>cs-19</author>
    <author>kiven</author>
    <author>梅榛</author>
    <author>panyingming</author>
  </authors>
  <commentList>
    <comment ref="A8" authorId="0">
      <text>
        <r>
          <rPr>
            <b/>
            <sz val="9"/>
            <rFont val="宋体"/>
            <charset val="134"/>
          </rPr>
          <t xml:space="preserve">填写说明：
</t>
        </r>
        <r>
          <rPr>
            <sz val="9"/>
            <rFont val="宋体"/>
            <charset val="134"/>
          </rPr>
          <t xml:space="preserve">建立客户档案需要，请必须填写。
</t>
        </r>
      </text>
    </comment>
    <comment ref="A13" authorId="1">
      <text>
        <r>
          <rPr>
            <b/>
            <sz val="9"/>
            <rFont val="宋体"/>
            <charset val="134"/>
          </rPr>
          <t>填写说明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如订货人与收货人不一致，请务必备注收货人姓名和手机联系方式</t>
        </r>
      </text>
    </comment>
    <comment ref="A15" authorId="0">
      <text>
        <r>
          <rPr>
            <b/>
            <sz val="9"/>
            <rFont val="宋体"/>
            <charset val="134"/>
          </rPr>
          <t xml:space="preserve">收费标准：
</t>
        </r>
        <r>
          <rPr>
            <sz val="9"/>
            <rFont val="宋体"/>
            <charset val="134"/>
          </rPr>
          <t>订单金额不满</t>
        </r>
        <r>
          <rPr>
            <sz val="9"/>
            <rFont val="Arial"/>
            <charset val="134"/>
          </rPr>
          <t>300</t>
        </r>
        <r>
          <rPr>
            <sz val="9"/>
            <rFont val="宋体"/>
            <charset val="134"/>
          </rPr>
          <t>元，需要加收快递费</t>
        </r>
        <r>
          <rPr>
            <sz val="9"/>
            <rFont val="Arial"/>
            <charset val="134"/>
          </rPr>
          <t>15</t>
        </r>
        <r>
          <rPr>
            <sz val="9"/>
            <rFont val="宋体"/>
            <charset val="134"/>
          </rPr>
          <t xml:space="preserve">元。
</t>
        </r>
        <r>
          <rPr>
            <sz val="9"/>
            <color indexed="12"/>
            <rFont val="宋体"/>
            <charset val="134"/>
          </rPr>
          <t>（必须确定有人接收）</t>
        </r>
      </text>
    </comment>
    <comment ref="A16" authorId="0">
      <text>
        <r>
          <rPr>
            <b/>
            <sz val="9"/>
            <rFont val="宋体"/>
            <charset val="134"/>
          </rPr>
          <t xml:space="preserve">部分发货：
</t>
        </r>
        <r>
          <rPr>
            <sz val="9"/>
            <rFont val="宋体"/>
            <charset val="134"/>
          </rPr>
          <t>如果您需要部分引物先发货，请选择“是”。</t>
        </r>
      </text>
    </comment>
    <comment ref="G17" authorId="2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17" authorId="3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17" authorId="4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17" authorId="4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17" authorId="0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</commentList>
</comments>
</file>

<file path=xl/comments2.xml><?xml version="1.0" encoding="utf-8"?>
<comments xmlns="http://schemas.openxmlformats.org/spreadsheetml/2006/main">
  <authors>
    <author>kiven</author>
    <author>梅榛</author>
    <author>panyingming</author>
    <author>dell</author>
  </authors>
  <commentList>
    <comment ref="G2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2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2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2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2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10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10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1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1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10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18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18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18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18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18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24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24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24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24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24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30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30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3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30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30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G36" authorId="0">
      <text>
        <r>
          <rPr>
            <sz val="9"/>
            <rFont val="宋体"/>
            <charset val="134"/>
          </rPr>
          <t>纯化方式的选择请见</t>
        </r>
        <r>
          <rPr>
            <sz val="9"/>
            <rFont val="Arial"/>
            <charset val="134"/>
          </rPr>
          <t>Sheet</t>
        </r>
        <r>
          <rPr>
            <sz val="9"/>
            <rFont val="宋体"/>
            <charset val="134"/>
          </rPr>
          <t>《帮助》</t>
        </r>
      </text>
    </comment>
    <comment ref="H36" authorId="1">
      <text>
        <r>
          <rPr>
            <sz val="9"/>
            <rFont val="宋体"/>
            <charset val="134"/>
          </rPr>
          <t>如果您希望以</t>
        </r>
        <r>
          <rPr>
            <sz val="9"/>
            <rFont val="Arial"/>
            <charset val="134"/>
          </rPr>
          <t>nmole</t>
        </r>
        <r>
          <rPr>
            <sz val="9"/>
            <rFont val="宋体"/>
            <charset val="134"/>
          </rPr>
          <t>作为合成单位，请填写对应数值</t>
        </r>
      </text>
    </comment>
    <comment ref="I36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J36" authorId="2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  <comment ref="K36" authorId="3">
      <text>
        <r>
          <rPr>
            <sz val="9"/>
            <rFont val="宋体"/>
            <charset val="134"/>
          </rPr>
          <t>修饰的选择请见</t>
        </r>
        <r>
          <rPr>
            <sz val="9"/>
            <rFont val="Arial"/>
            <charset val="134"/>
          </rPr>
          <t xml:space="preserve">Sheet </t>
        </r>
        <r>
          <rPr>
            <sz val="9"/>
            <rFont val="宋体"/>
            <charset val="134"/>
          </rPr>
          <t>《帮助》</t>
        </r>
      </text>
    </comment>
  </commentList>
</comments>
</file>

<file path=xl/sharedStrings.xml><?xml version="1.0" encoding="utf-8"?>
<sst xmlns="http://schemas.openxmlformats.org/spreadsheetml/2006/main" count="1728" uniqueCount="860">
  <si>
    <r>
      <rPr>
        <b/>
        <sz val="16"/>
        <rFont val="Arial"/>
        <charset val="134"/>
      </rPr>
      <t xml:space="preserve">
</t>
    </r>
    <r>
      <rPr>
        <b/>
        <sz val="10"/>
        <rFont val="宋体"/>
        <charset val="134"/>
      </rPr>
      <t>全国免费电话：</t>
    </r>
    <r>
      <rPr>
        <b/>
        <sz val="10"/>
        <rFont val="Arial"/>
        <charset val="134"/>
      </rPr>
      <t xml:space="preserve">   </t>
    </r>
    <r>
      <rPr>
        <b/>
        <sz val="16"/>
        <rFont val="Arial"/>
        <charset val="134"/>
      </rPr>
      <t xml:space="preserve"> </t>
    </r>
  </si>
  <si>
    <r>
      <rPr>
        <b/>
        <sz val="16"/>
        <rFont val="宋体"/>
        <charset val="134"/>
      </rPr>
      <t>生工生物工程（上海）股份有限公司</t>
    </r>
    <r>
      <rPr>
        <b/>
        <sz val="16"/>
        <rFont val="Arial"/>
        <charset val="134"/>
      </rPr>
      <t xml:space="preserve">   </t>
    </r>
    <r>
      <rPr>
        <b/>
        <sz val="16"/>
        <rFont val="宋体"/>
        <charset val="134"/>
      </rPr>
      <t xml:space="preserve">引物合成订购表
</t>
    </r>
    <r>
      <rPr>
        <b/>
        <sz val="10"/>
        <rFont val="宋体"/>
        <charset val="134"/>
      </rPr>
      <t>免费热线电话：</t>
    </r>
    <r>
      <rPr>
        <b/>
        <sz val="10"/>
        <color indexed="62"/>
        <rFont val="Arial"/>
        <charset val="134"/>
      </rPr>
      <t>400-821-0268</t>
    </r>
    <r>
      <rPr>
        <b/>
        <sz val="10"/>
        <color indexed="62"/>
        <rFont val="宋体"/>
        <charset val="134"/>
      </rPr>
      <t>；</t>
    </r>
    <r>
      <rPr>
        <b/>
        <sz val="10"/>
        <color indexed="62"/>
        <rFont val="Arial"/>
        <charset val="134"/>
      </rPr>
      <t xml:space="preserve">800-820-1016   </t>
    </r>
    <r>
      <rPr>
        <b/>
        <sz val="10"/>
        <rFont val="宋体"/>
        <charset val="134"/>
      </rPr>
      <t>网址：</t>
    </r>
    <r>
      <rPr>
        <b/>
        <i/>
        <u/>
        <sz val="10"/>
        <color indexed="62"/>
        <rFont val="Arial"/>
        <charset val="134"/>
      </rPr>
      <t>www.sangon.com</t>
    </r>
  </si>
  <si>
    <r>
      <rPr>
        <b/>
        <sz val="10"/>
        <rFont val="宋体"/>
        <charset val="134"/>
      </rPr>
      <t>订购日期：</t>
    </r>
  </si>
  <si>
    <r>
      <rPr>
        <b/>
        <sz val="12"/>
        <color indexed="10"/>
        <rFont val="Arial"/>
        <charset val="134"/>
      </rPr>
      <t>*</t>
    </r>
    <r>
      <rPr>
        <b/>
        <sz val="10"/>
        <rFont val="宋体"/>
        <charset val="134"/>
      </rPr>
      <t>订购人姓名</t>
    </r>
  </si>
  <si>
    <r>
      <rPr>
        <b/>
        <sz val="10"/>
        <rFont val="宋体"/>
        <charset val="134"/>
      </rPr>
      <t>上海合成部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021-57072173/72/71</t>
    </r>
  </si>
  <si>
    <r>
      <rPr>
        <b/>
        <sz val="10"/>
        <rFont val="宋体"/>
        <charset val="134"/>
      </rPr>
      <t>成都合成部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cdsynth@sangon.com 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028-64259944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</si>
  <si>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订购人手机</t>
    </r>
  </si>
  <si>
    <r>
      <rPr>
        <b/>
        <sz val="10"/>
        <rFont val="宋体"/>
        <charset val="134"/>
      </rPr>
      <t>北京合成部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beijing@sangon.com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010-81767585/86</t>
    </r>
  </si>
  <si>
    <r>
      <rPr>
        <b/>
        <sz val="10"/>
        <rFont val="宋体"/>
        <charset val="134"/>
      </rPr>
      <t>青岛合成部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qdsynth@sangon.com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0532-68012226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</si>
  <si>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订购人</t>
    </r>
    <r>
      <rPr>
        <b/>
        <sz val="10"/>
        <rFont val="Arial"/>
        <charset val="134"/>
      </rPr>
      <t>E-MAIL</t>
    </r>
    <r>
      <rPr>
        <b/>
        <sz val="10"/>
        <rFont val="宋体"/>
        <charset val="134"/>
      </rPr>
      <t>：</t>
    </r>
  </si>
  <si>
    <r>
      <rPr>
        <b/>
        <sz val="10"/>
        <rFont val="宋体"/>
        <charset val="134"/>
      </rPr>
      <t>广州合成部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gz_synth@sangon.com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020-38452026</t>
    </r>
  </si>
  <si>
    <r>
      <rPr>
        <b/>
        <sz val="10"/>
        <rFont val="宋体"/>
        <charset val="134"/>
      </rPr>
      <t>南京合成部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njsynth@sangon.com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025-85383702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</si>
  <si>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负责人</t>
    </r>
    <r>
      <rPr>
        <b/>
        <sz val="10"/>
        <rFont val="Arial"/>
        <charset val="134"/>
      </rPr>
      <t>/</t>
    </r>
    <r>
      <rPr>
        <b/>
        <sz val="10"/>
        <rFont val="宋体"/>
        <charset val="134"/>
      </rPr>
      <t>法人：</t>
    </r>
  </si>
  <si>
    <r>
      <rPr>
        <b/>
        <sz val="10"/>
        <rFont val="宋体"/>
        <charset val="134"/>
      </rPr>
      <t>武汉合成部</t>
    </r>
    <r>
      <rPr>
        <sz val="10"/>
        <rFont val="宋体"/>
        <charset val="134"/>
      </rPr>
      <t>：</t>
    </r>
    <r>
      <rPr>
        <i/>
        <sz val="10"/>
        <color indexed="30"/>
        <rFont val="Arial"/>
        <charset val="134"/>
      </rPr>
      <t xml:space="preserve">whsynth@sangon.com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027-65522298</t>
    </r>
  </si>
  <si>
    <r>
      <rPr>
        <b/>
        <sz val="10"/>
        <rFont val="宋体"/>
        <charset val="134"/>
      </rPr>
      <t>郑州合成部：</t>
    </r>
    <r>
      <rPr>
        <i/>
        <sz val="10"/>
        <color indexed="30"/>
        <rFont val="Arial"/>
        <charset val="134"/>
      </rPr>
      <t xml:space="preserve">zzsynth@sangon.com   </t>
    </r>
    <r>
      <rPr>
        <i/>
        <sz val="10"/>
        <color indexed="30"/>
        <rFont val="宋体"/>
        <charset val="134"/>
      </rPr>
      <t>电话：</t>
    </r>
    <r>
      <rPr>
        <i/>
        <sz val="10"/>
        <color indexed="30"/>
        <rFont val="Arial"/>
        <charset val="134"/>
      </rPr>
      <t>0371-61652655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</si>
  <si>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固定电话：</t>
    </r>
  </si>
  <si>
    <r>
      <rPr>
        <b/>
        <sz val="10"/>
        <color indexed="10"/>
        <rFont val="宋体"/>
        <charset val="134"/>
      </rPr>
      <t>订单要求：</t>
    </r>
    <r>
      <rPr>
        <sz val="10"/>
        <rFont val="Arial"/>
        <charset val="134"/>
      </rPr>
      <t xml:space="preserve">
1. </t>
    </r>
    <r>
      <rPr>
        <sz val="10"/>
        <rFont val="宋体"/>
        <charset val="134"/>
      </rPr>
      <t>此表格同时适用于线上和线下（</t>
    </r>
    <r>
      <rPr>
        <sz val="10"/>
        <rFont val="Arial"/>
        <charset val="134"/>
      </rPr>
      <t>E-mail</t>
    </r>
    <r>
      <rPr>
        <sz val="10"/>
        <rFont val="宋体"/>
        <charset val="134"/>
      </rPr>
      <t xml:space="preserve">）订单提交使用；
</t>
    </r>
    <r>
      <rPr>
        <sz val="10"/>
        <rFont val="Arial"/>
        <charset val="134"/>
      </rPr>
      <t xml:space="preserve">2. </t>
    </r>
    <r>
      <rPr>
        <sz val="10"/>
        <rFont val="宋体"/>
        <charset val="134"/>
      </rPr>
      <t>鼠标移至单元格右上角红色小三角查看批注提示。按批注提示，进一步查看</t>
    </r>
    <r>
      <rPr>
        <b/>
        <sz val="10"/>
        <color indexed="10"/>
        <rFont val="Arial"/>
        <charset val="134"/>
      </rPr>
      <t>“</t>
    </r>
    <r>
      <rPr>
        <b/>
        <sz val="10"/>
        <color indexed="10"/>
        <rFont val="宋体"/>
        <charset val="134"/>
      </rPr>
      <t>帮助</t>
    </r>
    <r>
      <rPr>
        <b/>
        <sz val="10"/>
        <color indexed="10"/>
        <rFont val="Arial"/>
        <charset val="134"/>
      </rPr>
      <t>”</t>
    </r>
    <r>
      <rPr>
        <sz val="10"/>
        <rFont val="宋体"/>
        <charset val="134"/>
      </rPr>
      <t xml:space="preserve">工作表获取对选项更详细的解释和说明；
</t>
    </r>
    <r>
      <rPr>
        <sz val="10"/>
        <rFont val="Arial"/>
        <charset val="134"/>
      </rPr>
      <t xml:space="preserve">3. </t>
    </r>
    <r>
      <rPr>
        <sz val="10"/>
        <rFont val="宋体"/>
        <charset val="134"/>
      </rPr>
      <t>由于订单提交后由系统自动处理，请务必在订单提交前仔细核对所填写的信息，此表格中</t>
    </r>
    <r>
      <rPr>
        <sz val="10"/>
        <color indexed="10"/>
        <rFont val="Arial"/>
        <charset val="134"/>
      </rPr>
      <t>*</t>
    </r>
    <r>
      <rPr>
        <sz val="10"/>
        <rFont val="宋体"/>
        <charset val="134"/>
      </rPr>
      <t>号的字段表示必填项，线下（</t>
    </r>
    <r>
      <rPr>
        <sz val="10"/>
        <rFont val="Arial"/>
        <charset val="134"/>
      </rPr>
      <t>E-mail</t>
    </r>
    <r>
      <rPr>
        <sz val="10"/>
        <rFont val="宋体"/>
        <charset val="134"/>
      </rPr>
      <t xml:space="preserve">）订单需完整填写表头部分信息，线上提交无需填写；
</t>
    </r>
    <r>
      <rPr>
        <sz val="10"/>
        <rFont val="Arial"/>
        <charset val="134"/>
      </rPr>
      <t>4.</t>
    </r>
    <r>
      <rPr>
        <sz val="10"/>
        <rFont val="宋体"/>
        <charset val="134"/>
      </rPr>
      <t>（</t>
    </r>
    <r>
      <rPr>
        <sz val="10"/>
        <rFont val="Arial"/>
        <charset val="134"/>
      </rPr>
      <t>E-mail</t>
    </r>
    <r>
      <rPr>
        <sz val="10"/>
        <rFont val="宋体"/>
        <charset val="134"/>
      </rPr>
      <t xml:space="preserve">）订单接收到邮件回复后将不能再更改或取消，如未收到邮件回复请电话确认，为了避免重复下订单，请您不要重复发送；
</t>
    </r>
    <r>
      <rPr>
        <sz val="10"/>
        <rFont val="Arial"/>
        <charset val="134"/>
      </rPr>
      <t xml:space="preserve">5. </t>
    </r>
    <r>
      <rPr>
        <sz val="10"/>
        <rFont val="宋体"/>
        <charset val="134"/>
      </rPr>
      <t>我们提供以</t>
    </r>
    <r>
      <rPr>
        <sz val="10"/>
        <rFont val="Arial"/>
        <charset val="134"/>
      </rPr>
      <t>OD</t>
    </r>
    <r>
      <rPr>
        <sz val="10"/>
        <rFont val="宋体"/>
        <charset val="134"/>
      </rPr>
      <t>量或</t>
    </r>
    <r>
      <rPr>
        <sz val="10"/>
        <rFont val="Arial"/>
        <charset val="134"/>
      </rPr>
      <t>nmoles</t>
    </r>
    <r>
      <rPr>
        <sz val="10"/>
        <rFont val="宋体"/>
        <charset val="134"/>
      </rPr>
      <t>为合成量提交订单，</t>
    </r>
    <r>
      <rPr>
        <b/>
        <sz val="10"/>
        <color indexed="10"/>
        <rFont val="宋体"/>
        <charset val="134"/>
      </rPr>
      <t>两者任选其一填写即可</t>
    </r>
    <r>
      <rPr>
        <sz val="10"/>
        <rFont val="宋体"/>
        <charset val="134"/>
      </rPr>
      <t>，且都只能填写数字不能有其它字符，如两者均有填写默认以</t>
    </r>
    <r>
      <rPr>
        <sz val="10"/>
        <rFont val="Arial"/>
        <charset val="134"/>
      </rPr>
      <t>OD</t>
    </r>
    <r>
      <rPr>
        <sz val="10"/>
        <rFont val="宋体"/>
        <charset val="134"/>
      </rPr>
      <t xml:space="preserve">量为准；
</t>
    </r>
    <r>
      <rPr>
        <sz val="10"/>
        <rFont val="Arial"/>
        <charset val="134"/>
      </rPr>
      <t xml:space="preserve">6. </t>
    </r>
    <r>
      <rPr>
        <sz val="10"/>
        <rFont val="宋体"/>
        <charset val="134"/>
      </rPr>
      <t>此表格提交的引物条数没有上限，如引物条数超过</t>
    </r>
    <r>
      <rPr>
        <sz val="10"/>
        <rFont val="Arial"/>
        <charset val="134"/>
      </rPr>
      <t>ID</t>
    </r>
    <r>
      <rPr>
        <sz val="10"/>
        <rFont val="宋体"/>
        <charset val="134"/>
      </rPr>
      <t xml:space="preserve">编号可下拉继续填写；
</t>
    </r>
    <r>
      <rPr>
        <sz val="10"/>
        <rFont val="Arial"/>
        <charset val="134"/>
      </rPr>
      <t xml:space="preserve">7. </t>
    </r>
    <r>
      <rPr>
        <b/>
        <sz val="10"/>
        <color indexed="10"/>
        <rFont val="宋体"/>
        <charset val="134"/>
      </rPr>
      <t>中间修饰的填写方法</t>
    </r>
    <r>
      <rPr>
        <sz val="10"/>
        <rFont val="宋体"/>
        <charset val="134"/>
      </rPr>
      <t>请结合表格中的</t>
    </r>
    <r>
      <rPr>
        <sz val="10"/>
        <rFont val="Arial"/>
        <charset val="134"/>
      </rPr>
      <t>“</t>
    </r>
    <r>
      <rPr>
        <sz val="10"/>
        <rFont val="宋体"/>
        <charset val="134"/>
      </rPr>
      <t>帮助</t>
    </r>
    <r>
      <rPr>
        <sz val="10"/>
        <rFont val="Arial"/>
        <charset val="134"/>
      </rPr>
      <t>”</t>
    </r>
    <r>
      <rPr>
        <sz val="10"/>
        <rFont val="宋体"/>
        <charset val="134"/>
      </rPr>
      <t>和</t>
    </r>
    <r>
      <rPr>
        <sz val="10"/>
        <rFont val="Arial"/>
        <charset val="134"/>
      </rPr>
      <t>“</t>
    </r>
    <r>
      <rPr>
        <sz val="10"/>
        <rFont val="宋体"/>
        <charset val="134"/>
      </rPr>
      <t>填写示例</t>
    </r>
    <r>
      <rPr>
        <sz val="10"/>
        <rFont val="Arial"/>
        <charset val="134"/>
      </rPr>
      <t>”</t>
    </r>
    <r>
      <rPr>
        <sz val="10"/>
        <rFont val="宋体"/>
        <charset val="134"/>
      </rPr>
      <t>工作表，其他内容详见各列项中的填写说明，您也可以在</t>
    </r>
    <r>
      <rPr>
        <sz val="10"/>
        <rFont val="Arial"/>
        <charset val="134"/>
      </rPr>
      <t>“</t>
    </r>
    <r>
      <rPr>
        <sz val="10"/>
        <rFont val="宋体"/>
        <charset val="134"/>
      </rPr>
      <t>填写示例</t>
    </r>
    <r>
      <rPr>
        <sz val="10"/>
        <rFont val="Arial"/>
        <charset val="134"/>
      </rPr>
      <t>”</t>
    </r>
    <r>
      <rPr>
        <sz val="10"/>
        <rFont val="宋体"/>
        <charset val="134"/>
      </rPr>
      <t>工作表中查看到各列项的填写方式。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</si>
  <si>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订购人单位：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</si>
  <si>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发票抬头：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</si>
  <si>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付款方式：</t>
    </r>
  </si>
  <si>
    <r>
      <rPr>
        <b/>
        <sz val="10"/>
        <rFont val="宋体"/>
        <charset val="134"/>
      </rPr>
      <t>随货开票：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</si>
  <si>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收货地址：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</si>
  <si>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备注：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</si>
  <si>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是否双休日发货</t>
    </r>
  </si>
  <si>
    <r>
      <rPr>
        <b/>
        <sz val="10"/>
        <color indexed="10"/>
        <rFont val="Arial"/>
        <charset val="134"/>
      </rPr>
      <t>*</t>
    </r>
    <r>
      <rPr>
        <b/>
        <sz val="10"/>
        <rFont val="宋体"/>
        <charset val="134"/>
      </rPr>
      <t>是否部分先发货</t>
    </r>
  </si>
  <si>
    <r>
      <rPr>
        <b/>
        <i/>
        <sz val="10"/>
        <rFont val="宋体"/>
        <charset val="134"/>
      </rPr>
      <t>总碱基数</t>
    </r>
  </si>
  <si>
    <r>
      <rPr>
        <b/>
        <sz val="10"/>
        <rFont val="Arial"/>
        <charset val="134"/>
      </rPr>
      <t>ID</t>
    </r>
    <r>
      <rPr>
        <b/>
        <sz val="10"/>
        <rFont val="宋体"/>
        <charset val="134"/>
      </rPr>
      <t>（</t>
    </r>
    <r>
      <rPr>
        <b/>
        <sz val="10"/>
        <rFont val="宋体"/>
        <charset val="134"/>
      </rPr>
      <t>此处无需填写）</t>
    </r>
  </si>
  <si>
    <r>
      <rPr>
        <b/>
        <sz val="10"/>
        <rFont val="Arial"/>
        <charset val="134"/>
      </rPr>
      <t>Primer</t>
    </r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</si>
  <si>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序列（</t>
    </r>
    <r>
      <rPr>
        <b/>
        <sz val="10"/>
        <rFont val="Arial"/>
        <charset val="134"/>
      </rPr>
      <t>5' to 3'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</si>
  <si>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碱基数</t>
    </r>
  </si>
  <si>
    <r>
      <rPr>
        <b/>
        <sz val="10"/>
        <rFont val="宋体"/>
        <charset val="134"/>
      </rPr>
      <t>分装管数</t>
    </r>
  </si>
  <si>
    <r>
      <rPr>
        <b/>
        <sz val="10"/>
        <rFont val="宋体"/>
        <charset val="134"/>
      </rPr>
      <t>提供总量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OD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</si>
  <si>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纯化方法</t>
    </r>
  </si>
  <si>
    <t>nmoles</t>
  </si>
  <si>
    <r>
      <rPr>
        <b/>
        <sz val="10"/>
        <rFont val="Arial"/>
        <charset val="134"/>
      </rPr>
      <t>5'</t>
    </r>
    <r>
      <rPr>
        <b/>
        <sz val="10"/>
        <rFont val="宋体"/>
        <charset val="134"/>
      </rPr>
      <t>端修饰</t>
    </r>
  </si>
  <si>
    <r>
      <rPr>
        <b/>
        <sz val="10"/>
        <rFont val="Arial"/>
        <charset val="134"/>
      </rPr>
      <t>3'</t>
    </r>
    <r>
      <rPr>
        <b/>
        <sz val="10"/>
        <rFont val="宋体"/>
        <charset val="134"/>
      </rPr>
      <t>端修饰</t>
    </r>
  </si>
  <si>
    <r>
      <rPr>
        <b/>
        <sz val="10"/>
        <rFont val="Arial"/>
        <charset val="134"/>
      </rPr>
      <t>5'</t>
    </r>
    <r>
      <rPr>
        <b/>
        <sz val="10"/>
        <rFont val="宋体"/>
        <charset val="134"/>
      </rPr>
      <t>端和</t>
    </r>
    <r>
      <rPr>
        <b/>
        <sz val="10"/>
        <rFont val="Arial"/>
        <charset val="134"/>
      </rPr>
      <t>3’</t>
    </r>
    <r>
      <rPr>
        <b/>
        <sz val="10"/>
        <rFont val="宋体"/>
        <charset val="134"/>
      </rPr>
      <t>端双标记修饰</t>
    </r>
  </si>
  <si>
    <t>01</t>
  </si>
  <si>
    <t>WK-CTB-F</t>
  </si>
  <si>
    <t>ggtatcgaaggtaggcatatgATGATTAAACTGAAATTTGGCGTTT</t>
  </si>
  <si>
    <t>HAP</t>
  </si>
  <si>
    <t>02</t>
  </si>
  <si>
    <t>WK-CTB-R</t>
  </si>
  <si>
    <t>agactgcaggtcgacaagcttTTAATGATGATGGTGATGATGTTTCG</t>
  </si>
  <si>
    <t>03</t>
  </si>
  <si>
    <t>WK-纯肽-F</t>
  </si>
  <si>
    <t>ggtatcgaaggtaggcatatgGCAGGAGATATTGAAGCGCTTAA</t>
  </si>
  <si>
    <t>04</t>
  </si>
  <si>
    <t>WK-纯肽-R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</si>
  <si>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</si>
  <si>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</si>
  <si>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</si>
  <si>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</si>
  <si>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</si>
  <si>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</si>
  <si>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</si>
  <si>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</si>
  <si>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</si>
  <si>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</si>
  <si>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</si>
  <si>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</si>
  <si>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</si>
  <si>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</si>
  <si>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</si>
  <si>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</si>
  <si>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</si>
  <si>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</si>
  <si>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</si>
  <si>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</si>
  <si>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</si>
  <si>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</si>
  <si>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</si>
  <si>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</si>
  <si>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</si>
  <si>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</si>
  <si>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</si>
  <si>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</si>
  <si>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</si>
  <si>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</si>
  <si>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</si>
  <si>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</si>
  <si>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</si>
  <si>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</si>
  <si>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</si>
  <si>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</si>
  <si>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</si>
  <si>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</si>
  <si>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</si>
  <si>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</si>
  <si>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</si>
  <si>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</si>
  <si>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</si>
  <si>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</si>
  <si>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</si>
  <si>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</si>
  <si>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</si>
  <si>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</si>
  <si>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</si>
  <si>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</si>
  <si>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</si>
  <si>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</si>
  <si>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</si>
  <si>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</si>
  <si>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</si>
  <si>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</si>
  <si>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</si>
  <si>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</si>
  <si>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</si>
  <si>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</si>
  <si>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</si>
  <si>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</si>
  <si>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</si>
  <si>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</si>
  <si>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</si>
  <si>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</si>
  <si>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</si>
  <si>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</si>
  <si>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</si>
  <si>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</si>
  <si>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</si>
  <si>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</si>
  <si>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</si>
  <si>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</si>
  <si>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</si>
  <si>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</si>
  <si>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</si>
  <si>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</si>
  <si>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</si>
  <si>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</si>
  <si>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</si>
  <si>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</si>
  <si>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</si>
  <si>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</si>
  <si>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</si>
  <si>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</si>
  <si>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</si>
  <si>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</si>
  <si>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</si>
  <si>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</si>
  <si>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</si>
  <si>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</si>
  <si>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</si>
  <si>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</si>
  <si>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</si>
  <si>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</si>
  <si>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</si>
  <si>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</si>
  <si>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</si>
  <si>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</si>
  <si>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</si>
  <si>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</si>
  <si>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</si>
  <si>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</si>
  <si>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</si>
  <si>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</si>
  <si>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</si>
  <si>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</si>
  <si>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</si>
  <si>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</si>
  <si>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</si>
  <si>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</si>
  <si>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</si>
  <si>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</si>
  <si>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</si>
  <si>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</si>
  <si>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</si>
  <si>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</si>
  <si>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</si>
  <si>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</si>
  <si>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</si>
  <si>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</si>
  <si>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</si>
  <si>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</si>
  <si>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</si>
  <si>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</si>
  <si>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</si>
  <si>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</si>
  <si>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</si>
  <si>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</si>
  <si>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</si>
  <si>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</si>
  <si>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</si>
  <si>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</si>
  <si>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</si>
  <si>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</si>
  <si>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</si>
  <si>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</si>
  <si>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</si>
  <si>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</si>
  <si>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</si>
  <si>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</si>
  <si>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</si>
  <si>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</si>
  <si>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</si>
  <si>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</si>
  <si>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</si>
  <si>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</si>
  <si>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</si>
  <si>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</si>
  <si>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</si>
  <si>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</si>
  <si>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</si>
  <si>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</si>
  <si>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</si>
  <si>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</si>
  <si>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</si>
  <si>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</si>
  <si>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</si>
  <si>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</si>
  <si>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</si>
  <si>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</si>
  <si>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</si>
  <si>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</si>
  <si>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</si>
  <si>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</si>
  <si>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</si>
  <si>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</si>
  <si>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</si>
  <si>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</si>
  <si>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</si>
  <si>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</si>
  <si>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</si>
  <si>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</si>
  <si>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</si>
  <si>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</si>
  <si>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</si>
  <si>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</si>
  <si>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</si>
  <si>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</si>
  <si>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</si>
  <si>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</si>
  <si>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</si>
  <si>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</si>
  <si>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</si>
  <si>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</si>
  <si>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</si>
  <si>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</si>
  <si>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</si>
  <si>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</si>
  <si>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</si>
  <si>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</si>
  <si>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</si>
  <si>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</si>
  <si>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</si>
  <si>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</si>
  <si>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</si>
  <si>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</si>
  <si>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</si>
  <si>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</si>
  <si>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</si>
  <si>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</si>
  <si>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</si>
  <si>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</si>
  <si>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</si>
  <si>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</si>
  <si>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</si>
  <si>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</si>
  <si>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</si>
  <si>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</si>
  <si>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</si>
  <si>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</si>
  <si>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</si>
  <si>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</si>
  <si>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</si>
  <si>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</si>
  <si>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</si>
  <si>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</si>
  <si>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</si>
  <si>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</si>
  <si>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</si>
  <si>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</si>
  <si>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</si>
  <si>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</si>
  <si>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</si>
  <si>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</si>
  <si>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</si>
  <si>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</si>
  <si>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</si>
  <si>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</si>
  <si>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</si>
  <si>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</si>
  <si>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</si>
  <si>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</si>
  <si>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</si>
  <si>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</si>
  <si>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</si>
  <si>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</si>
  <si>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</si>
  <si>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</si>
  <si>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</si>
  <si>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</si>
  <si>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</si>
  <si>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</si>
  <si>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</si>
  <si>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</si>
  <si>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</si>
  <si>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</si>
  <si>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</si>
  <si>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</si>
  <si>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</si>
  <si>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</si>
  <si>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</si>
  <si>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</si>
  <si>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</si>
  <si>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</si>
  <si>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</si>
  <si>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</si>
  <si>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</si>
  <si>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</si>
  <si>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</si>
  <si>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</si>
  <si>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</si>
  <si>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</si>
  <si>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</si>
  <si>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</si>
  <si>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</si>
  <si>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</si>
  <si>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</si>
  <si>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</si>
  <si>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</si>
  <si>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</si>
  <si>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</si>
  <si>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</si>
  <si>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</si>
  <si>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</si>
  <si>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</si>
  <si>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</si>
  <si>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</si>
  <si>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</si>
  <si>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</si>
  <si>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</si>
  <si>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</si>
  <si>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</si>
  <si>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</si>
  <si>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</si>
  <si>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</si>
  <si>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</si>
  <si>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</si>
  <si>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</si>
  <si>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</si>
  <si>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</si>
  <si>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</si>
  <si>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</si>
  <si>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</si>
  <si>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</si>
  <si>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r>
      <rPr>
        <b/>
        <sz val="10"/>
        <rFont val="Arial"/>
        <charset val="134"/>
      </rPr>
      <t>5’</t>
    </r>
    <r>
      <rPr>
        <b/>
        <sz val="10"/>
        <rFont val="思源黑体 CN Bold"/>
        <charset val="134"/>
      </rPr>
      <t>端修饰</t>
    </r>
  </si>
  <si>
    <r>
      <rPr>
        <b/>
        <sz val="10"/>
        <rFont val="Arial"/>
        <charset val="134"/>
      </rPr>
      <t>3’</t>
    </r>
    <r>
      <rPr>
        <b/>
        <sz val="10"/>
        <rFont val="思源黑体 CN Bold"/>
        <charset val="134"/>
      </rPr>
      <t>端修饰</t>
    </r>
  </si>
  <si>
    <r>
      <rPr>
        <b/>
        <sz val="10"/>
        <rFont val="思源黑体 CN Bold"/>
        <charset val="134"/>
      </rPr>
      <t>两端修饰</t>
    </r>
  </si>
  <si>
    <r>
      <rPr>
        <b/>
        <sz val="10"/>
        <rFont val="思源黑体 CN Bold"/>
        <charset val="134"/>
      </rPr>
      <t>中间修饰</t>
    </r>
  </si>
  <si>
    <r>
      <rPr>
        <b/>
        <sz val="10"/>
        <rFont val="思源黑体 CN Bold"/>
        <charset val="134"/>
      </rPr>
      <t>中间修饰代码</t>
    </r>
  </si>
  <si>
    <r>
      <rPr>
        <b/>
        <sz val="10"/>
        <rFont val="思源黑体 CN Bold"/>
        <charset val="134"/>
      </rPr>
      <t>中间修饰碱基</t>
    </r>
  </si>
  <si>
    <t>5`6-FAM</t>
  </si>
  <si>
    <t>3`6-FAM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</si>
  <si>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3`BHQ1</t>
    </r>
  </si>
  <si>
    <t>1-Me-dA</t>
  </si>
  <si>
    <t>/i1-MedA/</t>
  </si>
  <si>
    <t>A</t>
  </si>
  <si>
    <t>5`Acrydite</t>
  </si>
  <si>
    <t>3`Acrydite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</si>
  <si>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</si>
  <si>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2-Aminopurine</t>
  </si>
  <si>
    <t>/i2-Amp/</t>
  </si>
  <si>
    <t>5`Alexa Fluor 350</t>
  </si>
  <si>
    <t>3`Alexa Fluor 350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</si>
  <si>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</si>
  <si>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5-Aza-2`-deoxycytidine</t>
  </si>
  <si>
    <t>/i5-AzadC/</t>
  </si>
  <si>
    <t>C</t>
  </si>
  <si>
    <t>5`Alexa Fluor 405</t>
  </si>
  <si>
    <t>3`Alexa Fluor 405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</si>
  <si>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</si>
  <si>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5-Bromo dU</t>
  </si>
  <si>
    <t>/i5Br-dU/</t>
  </si>
  <si>
    <t>U</t>
  </si>
  <si>
    <t>5`Alexa Fluor 430</t>
  </si>
  <si>
    <t>3`Alexa Fluor 430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</si>
  <si>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3`Eclipse</t>
    </r>
  </si>
  <si>
    <t>5F-dU</t>
  </si>
  <si>
    <t>/i5F-dU/</t>
  </si>
  <si>
    <t>5`Alexa Fluor 488</t>
  </si>
  <si>
    <t>3`Alexa Fluor 488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</si>
  <si>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</si>
  <si>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5-Hydroxmethyl dC</t>
  </si>
  <si>
    <t>/55HydMe-dC/</t>
  </si>
  <si>
    <t>5`Alexa Fluor 532</t>
  </si>
  <si>
    <t>3`Alexa Fluor 532</t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</si>
  <si>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3`TAMRA-N</t>
    </r>
  </si>
  <si>
    <t>5-Methyl dC</t>
  </si>
  <si>
    <t>/i5MedC/</t>
  </si>
  <si>
    <t>5`Alexa Fluor 555</t>
  </si>
  <si>
    <t>3`Alexa Fluor 555</t>
  </si>
  <si>
    <r>
      <rPr>
        <sz val="10"/>
        <rFont val="Arial"/>
        <charset val="134"/>
      </rPr>
      <t>5`CY3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</si>
  <si>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5-Nitroindole</t>
  </si>
  <si>
    <t>/i5NitInd/</t>
  </si>
  <si>
    <t/>
  </si>
  <si>
    <t>5`Alexa Fluor 568</t>
  </si>
  <si>
    <t>3`Alexa Fluor 568</t>
  </si>
  <si>
    <r>
      <rPr>
        <sz val="10"/>
        <rFont val="Arial"/>
        <charset val="134"/>
      </rPr>
      <t>5`CY3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3`Dabcyl-N</t>
    </r>
  </si>
  <si>
    <t>8-OXO-dG</t>
  </si>
  <si>
    <t>/i8oxodG/</t>
  </si>
  <si>
    <t>G</t>
  </si>
  <si>
    <t>5`Alexa Fluor 594</t>
  </si>
  <si>
    <t>3`Alexa Fluor 594</t>
  </si>
  <si>
    <r>
      <rPr>
        <sz val="10"/>
        <rFont val="Arial"/>
        <charset val="134"/>
      </rPr>
      <t>5`CY3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</si>
  <si>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Azobenzene</t>
  </si>
  <si>
    <t>/iAbz/</t>
  </si>
  <si>
    <t>5`Alexa Fluor 647</t>
  </si>
  <si>
    <t>3`Alexa Fluor 647</t>
  </si>
  <si>
    <r>
      <rPr>
        <sz val="10"/>
        <rFont val="Arial"/>
        <charset val="134"/>
      </rPr>
      <t>5`CY5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</si>
  <si>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C12 Spacer</t>
  </si>
  <si>
    <t>/iSpC12/</t>
  </si>
  <si>
    <t>5`Alexa Fluor 680</t>
  </si>
  <si>
    <t>3`Alexa Fluor 680</t>
  </si>
  <si>
    <r>
      <rPr>
        <sz val="10"/>
        <rFont val="Arial"/>
        <charset val="134"/>
      </rPr>
      <t>5`CY5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3`BHQ-3</t>
    </r>
  </si>
  <si>
    <t>C3 Spacer</t>
  </si>
  <si>
    <t>/iSpC3/</t>
  </si>
  <si>
    <t>5`AMCA</t>
  </si>
  <si>
    <t>3`AMCA</t>
  </si>
  <si>
    <r>
      <rPr>
        <sz val="10"/>
        <rFont val="Arial"/>
        <charset val="134"/>
      </rPr>
      <t>5`CY5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</si>
  <si>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C6 Spacer</t>
  </si>
  <si>
    <t>/iSp6/</t>
  </si>
  <si>
    <t>5`Atto 425</t>
  </si>
  <si>
    <t>3`AquaPhluor 593</t>
  </si>
  <si>
    <r>
      <rPr>
        <sz val="10"/>
        <rFont val="Arial"/>
        <charset val="134"/>
      </rPr>
      <t>5`CY5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</si>
  <si>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deoxyInosine (dI)</t>
  </si>
  <si>
    <t>/ideoxyI/</t>
  </si>
  <si>
    <t>I</t>
  </si>
  <si>
    <t>5`ATTO 590</t>
  </si>
  <si>
    <t>3`Atto 425</t>
  </si>
  <si>
    <r>
      <rPr>
        <sz val="10"/>
        <rFont val="Arial"/>
        <charset val="134"/>
      </rPr>
      <t>5`CY5.5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</si>
  <si>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deoxyUridine (dU)</t>
  </si>
  <si>
    <t>/ideoxyU/</t>
  </si>
  <si>
    <t>5`Azide(N3)</t>
  </si>
  <si>
    <t>3`ATTO 590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</si>
  <si>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3`BHQ1</t>
    </r>
  </si>
  <si>
    <t>dSpacer</t>
  </si>
  <si>
    <t>/idSp/</t>
  </si>
  <si>
    <t>5`BBQ650</t>
  </si>
  <si>
    <t>3`Azide(N3)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</si>
  <si>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</si>
  <si>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6-FAM-dT</t>
  </si>
  <si>
    <t>/i6FAMdT/</t>
  </si>
  <si>
    <t>T</t>
  </si>
  <si>
    <t>5`BHQ1</t>
  </si>
  <si>
    <t>3`BBQ650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</si>
  <si>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</si>
  <si>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Int Acrydite dT</t>
  </si>
  <si>
    <t>/iAcryditedT/</t>
  </si>
  <si>
    <t>5`BHQ2</t>
  </si>
  <si>
    <t>3`BHQ1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</si>
  <si>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</si>
  <si>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Int Alexa Fluor 350 dT</t>
  </si>
  <si>
    <t>/iAF350dT/</t>
  </si>
  <si>
    <t>5`Biotin</t>
  </si>
  <si>
    <t>3`BHQ2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</si>
  <si>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3`Eclipse</t>
    </r>
  </si>
  <si>
    <t>Int Alexa Fluor 405 dT</t>
  </si>
  <si>
    <t>/iAF405dT/</t>
  </si>
  <si>
    <t>5`Biotin-TEG</t>
  </si>
  <si>
    <t>3`BHQ-3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</si>
  <si>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</si>
  <si>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Alexa Fluor 430 dT</t>
  </si>
  <si>
    <t>/iAF430dT/</t>
  </si>
  <si>
    <t>5`BODIPY FL</t>
  </si>
  <si>
    <t>3`Biotin</t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</si>
  <si>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3`TAMRA</t>
    </r>
  </si>
  <si>
    <t>Int Alexa Fluor 488-dT</t>
  </si>
  <si>
    <t>/iAF488dT/</t>
  </si>
  <si>
    <t>5`C3 Spacer</t>
  </si>
  <si>
    <t>3`Biotin-TEG</t>
  </si>
  <si>
    <r>
      <rPr>
        <sz val="10"/>
        <rFont val="Arial"/>
        <charset val="134"/>
      </rPr>
      <t>5`JOE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3`BHQ1</t>
    </r>
  </si>
  <si>
    <t>Int Alexa Fluor 532 dT</t>
  </si>
  <si>
    <t>/iAF532dT/</t>
  </si>
  <si>
    <t>5`CHCH(Hexyne)</t>
  </si>
  <si>
    <t>3`BODIPY FL</t>
  </si>
  <si>
    <r>
      <rPr>
        <sz val="10"/>
        <rFont val="Arial"/>
        <charset val="134"/>
      </rPr>
      <t>5`JOE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</si>
  <si>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Alexa Fluor 555 dT</t>
  </si>
  <si>
    <t>/iAF555dT/</t>
  </si>
  <si>
    <t>5`CHO</t>
  </si>
  <si>
    <t>3`C3 Spacer</t>
  </si>
  <si>
    <r>
      <rPr>
        <sz val="10"/>
        <rFont val="Arial"/>
        <charset val="134"/>
      </rPr>
      <t>5`JOE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3`Dabcyl-N</t>
    </r>
  </si>
  <si>
    <t>Int Alexa Fluor 568 dT</t>
  </si>
  <si>
    <t>/iAF568dT/</t>
  </si>
  <si>
    <t>5`Cholesteryl</t>
  </si>
  <si>
    <t>3`C6 Spacer</t>
  </si>
  <si>
    <r>
      <rPr>
        <sz val="10"/>
        <rFont val="Arial"/>
        <charset val="134"/>
      </rPr>
      <t>5`JOE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</si>
  <si>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Alexa Fluor 594 dT</t>
  </si>
  <si>
    <t>/iAF594dT/</t>
  </si>
  <si>
    <t>5`Cholesteryl-TEG</t>
  </si>
  <si>
    <t>3`CHCH</t>
  </si>
  <si>
    <r>
      <rPr>
        <sz val="10"/>
        <rFont val="Arial"/>
        <charset val="134"/>
      </rPr>
      <t>5`JOE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3`TAMRA-N</t>
    </r>
  </si>
  <si>
    <t>Int Alexa Fluor 647 dT</t>
  </si>
  <si>
    <t>/iAF647dT/</t>
  </si>
  <si>
    <t>5`COOH</t>
  </si>
  <si>
    <t>3`Cholesteryl</t>
  </si>
  <si>
    <r>
      <rPr>
        <sz val="10"/>
        <rFont val="Arial"/>
        <charset val="134"/>
      </rPr>
      <t>5`Quasar 670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</si>
  <si>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Alexa Fluor 680 dT</t>
  </si>
  <si>
    <t>/iAF680dT/</t>
  </si>
  <si>
    <t>5`Cy3</t>
  </si>
  <si>
    <t>3`Cholesteryl-TEG</t>
  </si>
  <si>
    <r>
      <rPr>
        <sz val="10"/>
        <rFont val="Arial"/>
        <charset val="134"/>
      </rPr>
      <t>5`ROX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</si>
  <si>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Atto 425 dT</t>
  </si>
  <si>
    <t>/iAtto425dT/</t>
  </si>
  <si>
    <t>5`Cy5</t>
  </si>
  <si>
    <t>3`Cy3</t>
  </si>
  <si>
    <r>
      <rPr>
        <sz val="10"/>
        <rFont val="Arial"/>
        <charset val="134"/>
      </rPr>
      <t>5`ROX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</si>
  <si>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Int Azide-dT</t>
  </si>
  <si>
    <t>/iAzidedT/</t>
  </si>
  <si>
    <t>5`Cy5(Hydrophilic)</t>
  </si>
  <si>
    <t>3`Cy5</t>
  </si>
  <si>
    <r>
      <rPr>
        <sz val="10"/>
        <rFont val="Arial"/>
        <charset val="134"/>
      </rPr>
      <t>5`ROX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3`Eclipse</t>
    </r>
  </si>
  <si>
    <t>Int BBQ650 dT</t>
  </si>
  <si>
    <t>/iBBQ650dT/</t>
  </si>
  <si>
    <t>5`CY5.5</t>
  </si>
  <si>
    <t>3`Cy5(Hydrophilic)</t>
  </si>
  <si>
    <r>
      <rPr>
        <sz val="10"/>
        <rFont val="Arial"/>
        <charset val="134"/>
      </rPr>
      <t>5`ROX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</si>
  <si>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BHQ1 dT</t>
  </si>
  <si>
    <t>/iBHQ1dT/</t>
  </si>
  <si>
    <t>5`Cy7</t>
  </si>
  <si>
    <t>3`CY5.5</t>
  </si>
  <si>
    <r>
      <rPr>
        <sz val="10"/>
        <rFont val="Arial"/>
        <charset val="134"/>
      </rPr>
      <t>5`TAMRA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</si>
  <si>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BHQ2 dT</t>
  </si>
  <si>
    <t>/iBHQ2dT/</t>
  </si>
  <si>
    <t>5`Dabcyl</t>
  </si>
  <si>
    <t>3`Cy7</t>
  </si>
  <si>
    <r>
      <rPr>
        <sz val="10"/>
        <rFont val="Arial"/>
        <charset val="134"/>
      </rPr>
      <t>5`TAMRA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</si>
  <si>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Int Biotin dT</t>
  </si>
  <si>
    <t>/iBiodT/</t>
  </si>
  <si>
    <t>5`DBCO</t>
  </si>
  <si>
    <t>3`Dabcyl</t>
  </si>
  <si>
    <r>
      <rPr>
        <sz val="10"/>
        <rFont val="Arial"/>
        <charset val="134"/>
      </rPr>
      <t>5`TAMRA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3`Eclipse</t>
    </r>
  </si>
  <si>
    <t>Int BODIPY FL dT</t>
  </si>
  <si>
    <t>/iBODIPYFLdT/</t>
  </si>
  <si>
    <t>5`DBCO-TEG</t>
  </si>
  <si>
    <t>3`DBCO</t>
  </si>
  <si>
    <r>
      <rPr>
        <sz val="10"/>
        <rFont val="Arial"/>
        <charset val="134"/>
      </rPr>
      <t>5`TAMRA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</si>
  <si>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CHCH-dT</t>
  </si>
  <si>
    <t>/iCHCHdT/</t>
  </si>
  <si>
    <t>5`Desthio Biotin</t>
  </si>
  <si>
    <t>3`ddC</t>
  </si>
  <si>
    <r>
      <rPr>
        <sz val="10"/>
        <rFont val="Arial"/>
        <charset val="134"/>
      </rPr>
      <t>5`TET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3`BHQ1</t>
    </r>
  </si>
  <si>
    <t>Int Cy3</t>
  </si>
  <si>
    <t>/iCy3/</t>
  </si>
  <si>
    <t>5`Desthio Biotin-TEG</t>
  </si>
  <si>
    <t>3`Desthio Biotin-TEG</t>
  </si>
  <si>
    <r>
      <rPr>
        <sz val="10"/>
        <rFont val="Arial"/>
        <charset val="134"/>
      </rPr>
      <t>5`TET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</si>
  <si>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Cy3-dT</t>
  </si>
  <si>
    <t>/iCy3dT/</t>
  </si>
  <si>
    <t>5`Dig</t>
  </si>
  <si>
    <t>3`-dG-Q</t>
  </si>
  <si>
    <r>
      <rPr>
        <sz val="10"/>
        <rFont val="Arial"/>
        <charset val="134"/>
      </rPr>
      <t>5`TET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</si>
  <si>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Int Cy5</t>
  </si>
  <si>
    <t>/iCy5/</t>
  </si>
  <si>
    <t>5`Dithiol</t>
  </si>
  <si>
    <t>3`Dig</t>
  </si>
  <si>
    <r>
      <rPr>
        <sz val="10"/>
        <rFont val="Arial"/>
        <charset val="134"/>
      </rPr>
      <t>5`TET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</si>
  <si>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Cy5-dT</t>
  </si>
  <si>
    <t>/iCy5dT/</t>
  </si>
  <si>
    <t>5`Dual Biotin</t>
  </si>
  <si>
    <t>3`Dithiol</t>
  </si>
  <si>
    <r>
      <rPr>
        <sz val="10"/>
        <rFont val="Arial"/>
        <charset val="134"/>
      </rPr>
      <t>5`TET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3`TAMRA</t>
    </r>
  </si>
  <si>
    <t>Int Cy5(Hydrophilic) dT</t>
  </si>
  <si>
    <t>/iCy5HdT/</t>
  </si>
  <si>
    <t>5`Eclipse</t>
  </si>
  <si>
    <t>3`-dT-Q</t>
  </si>
  <si>
    <r>
      <rPr>
        <sz val="10"/>
        <rFont val="Arial"/>
        <charset val="134"/>
      </rPr>
      <t>5`Texas Red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</si>
  <si>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CY5.5 dT</t>
  </si>
  <si>
    <t>/iCY5.5dT/</t>
  </si>
  <si>
    <t>5`Ferrocene</t>
  </si>
  <si>
    <t>3`Eclipse</t>
  </si>
  <si>
    <r>
      <rPr>
        <sz val="10"/>
        <rFont val="Arial"/>
        <charset val="134"/>
      </rPr>
      <t>5`Texas Red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3`Dabcyl</t>
    </r>
  </si>
  <si>
    <t>Int CY7 dT</t>
  </si>
  <si>
    <t>/iCY7dT/</t>
  </si>
  <si>
    <t>5`HEX</t>
  </si>
  <si>
    <t>3`Ferrocene</t>
  </si>
  <si>
    <r>
      <rPr>
        <sz val="10"/>
        <rFont val="Arial"/>
        <charset val="134"/>
      </rPr>
      <t>5`Texas Red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</si>
  <si>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Dabcyl-dT</t>
  </si>
  <si>
    <t>/iDabcyldT/</t>
  </si>
  <si>
    <t>5`HS-SH C6</t>
  </si>
  <si>
    <t>3`Ferrocene-N</t>
  </si>
  <si>
    <r>
      <rPr>
        <sz val="10"/>
        <rFont val="Arial"/>
        <charset val="134"/>
      </rPr>
      <t>5`VIC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3`BHQ1</t>
    </r>
  </si>
  <si>
    <t>Int DBCO dT</t>
  </si>
  <si>
    <t>/iDBCOdT/</t>
  </si>
  <si>
    <t>5`IR 650</t>
  </si>
  <si>
    <t>3`HEX</t>
  </si>
  <si>
    <r>
      <rPr>
        <sz val="10"/>
        <rFont val="Arial"/>
        <charset val="134"/>
      </rPr>
      <t>5`VIC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3`BHQ2</t>
    </r>
  </si>
  <si>
    <t>Int Desthio Biotin dT</t>
  </si>
  <si>
    <t>/iDesBiodT/</t>
  </si>
  <si>
    <t>5`IR 750</t>
  </si>
  <si>
    <t>3`HS-SH C3</t>
  </si>
  <si>
    <r>
      <rPr>
        <sz val="10"/>
        <rFont val="Arial"/>
        <charset val="134"/>
      </rPr>
      <t>5`VIC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</si>
  <si>
    <t>Int Dig dT</t>
  </si>
  <si>
    <t>/iDigdT/</t>
  </si>
  <si>
    <t>5`JOE</t>
  </si>
  <si>
    <t>3`HS-SH C6</t>
  </si>
  <si>
    <r>
      <rPr>
        <sz val="10"/>
        <rFont val="Arial"/>
        <charset val="134"/>
      </rPr>
      <t>5`VIC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3`MGB</t>
    </r>
  </si>
  <si>
    <t>Int Dithiol</t>
  </si>
  <si>
    <t>/iDTPA/</t>
  </si>
  <si>
    <t>5`Maleimide</t>
  </si>
  <si>
    <t>3`Inverted dT</t>
  </si>
  <si>
    <t>Int Dithiol dT</t>
  </si>
  <si>
    <t>/iDithioldT/</t>
  </si>
  <si>
    <t>5`Methylene Blue</t>
  </si>
  <si>
    <t>3`IR 650</t>
  </si>
  <si>
    <t>Int Eclipse</t>
  </si>
  <si>
    <t>/iEclipse/</t>
  </si>
  <si>
    <t>5`NED</t>
  </si>
  <si>
    <t>3`IR 750</t>
  </si>
  <si>
    <t>Int Ferrocene dT</t>
  </si>
  <si>
    <t>/iFcdT/</t>
  </si>
  <si>
    <t>5`NH2 C12</t>
  </si>
  <si>
    <t>3`JOE</t>
  </si>
  <si>
    <t>Int HEX-dT</t>
  </si>
  <si>
    <t>/iHEXdT/</t>
  </si>
  <si>
    <t>5`NH2 C6</t>
  </si>
  <si>
    <t>3`Maleimide</t>
  </si>
  <si>
    <t>Int HS-SH C6</t>
  </si>
  <si>
    <t>/iHS-SH/</t>
  </si>
  <si>
    <t>5`Oregon Green 488</t>
  </si>
  <si>
    <t>3`Methylene Blue</t>
  </si>
  <si>
    <t>Int IR 650 dT</t>
  </si>
  <si>
    <t>/iIR650dT/</t>
  </si>
  <si>
    <t>5`P</t>
  </si>
  <si>
    <t>3`MGB</t>
  </si>
  <si>
    <t>Int IR 750 dT</t>
  </si>
  <si>
    <t>/iIR750dT/</t>
  </si>
  <si>
    <t>5`Pacific Blue</t>
  </si>
  <si>
    <t>3`NH2 C6</t>
  </si>
  <si>
    <t>Int JOE-dT</t>
  </si>
  <si>
    <t>/iJOEdT/</t>
  </si>
  <si>
    <t>5`Pyrene</t>
  </si>
  <si>
    <t>3`NH2 C6 dT</t>
  </si>
  <si>
    <t>Int Methylene Blue dT</t>
  </si>
  <si>
    <t>/iMeBluedT/</t>
  </si>
  <si>
    <t>5`Quasar 570</t>
  </si>
  <si>
    <t>3`NH2 C7</t>
  </si>
  <si>
    <t>Int NH2 C6 dT</t>
  </si>
  <si>
    <t>/iNH2C6dT/</t>
  </si>
  <si>
    <t>5`Quasar 670</t>
  </si>
  <si>
    <t>3`Oregon Green 488</t>
  </si>
  <si>
    <t>Int Oregon Green 488 dT</t>
  </si>
  <si>
    <t>/iOG488dT/</t>
  </si>
  <si>
    <t>5`R6G</t>
  </si>
  <si>
    <t>3`P</t>
  </si>
  <si>
    <t>Int Pacific Blue dT</t>
  </si>
  <si>
    <t>/iPacificBluedT/</t>
  </si>
  <si>
    <t>5`ROX</t>
  </si>
  <si>
    <t>3`Pacific Blue</t>
  </si>
  <si>
    <t>Int Quasar 570 dT</t>
  </si>
  <si>
    <t>/iQuasar570dT/</t>
  </si>
  <si>
    <t>5`Ru</t>
  </si>
  <si>
    <t>3`Puromycin</t>
  </si>
  <si>
    <t>Int R6G dT</t>
  </si>
  <si>
    <t>/iR6GdT/</t>
  </si>
  <si>
    <t>5`SH C6</t>
  </si>
  <si>
    <t>3`Pyrene</t>
  </si>
  <si>
    <t>Int ROX-dT</t>
  </si>
  <si>
    <t>/iROXdT/</t>
  </si>
  <si>
    <t>5`Spacer 18</t>
  </si>
  <si>
    <t>3`Quasar 570</t>
  </si>
  <si>
    <t>Int Ru dT</t>
  </si>
  <si>
    <t>/iRudT/</t>
  </si>
  <si>
    <t>5`Symmetric</t>
  </si>
  <si>
    <t>3`Quasar 670</t>
  </si>
  <si>
    <t>Int Symmetric</t>
  </si>
  <si>
    <t>/iSymmetric/</t>
  </si>
  <si>
    <t>5`TAMRA</t>
  </si>
  <si>
    <t>3`R6G</t>
  </si>
  <si>
    <t>Int TAMRA-dT</t>
  </si>
  <si>
    <t>/iTAMdT/</t>
  </si>
  <si>
    <t>5`TET</t>
  </si>
  <si>
    <t>3`ROX</t>
  </si>
  <si>
    <t>Int TET-dT</t>
  </si>
  <si>
    <t>/iTETdT/</t>
  </si>
  <si>
    <t>5`Texas Red</t>
  </si>
  <si>
    <t>3`Ru</t>
  </si>
  <si>
    <t>Int Texas Red-dT</t>
  </si>
  <si>
    <t>/iTexRddT/</t>
  </si>
  <si>
    <t>5`Trebler</t>
  </si>
  <si>
    <t>3`SH C3</t>
  </si>
  <si>
    <t>Int Uni-Link Amino</t>
  </si>
  <si>
    <t>/iUniAmM/</t>
  </si>
  <si>
    <t>5`triple Biotin</t>
  </si>
  <si>
    <t>3`SH C6</t>
  </si>
  <si>
    <t>N6-Me-dA</t>
  </si>
  <si>
    <t>/6-MedA/</t>
  </si>
  <si>
    <t>5`Triple HS-SH</t>
  </si>
  <si>
    <t>3`TAMRA-N</t>
  </si>
  <si>
    <t>PC-Linker</t>
  </si>
  <si>
    <t>/iPCLink/</t>
  </si>
  <si>
    <t>5`triple SH</t>
  </si>
  <si>
    <t>3`TET</t>
  </si>
  <si>
    <t>Phosphorothioate</t>
  </si>
  <si>
    <t>*</t>
  </si>
  <si>
    <t>5`VIC</t>
  </si>
  <si>
    <t>3`Texas Red</t>
  </si>
  <si>
    <t>Pyrrolo-dC</t>
  </si>
  <si>
    <t>/iPyrrolodC/</t>
  </si>
  <si>
    <t>3`Yakima Yellow</t>
  </si>
  <si>
    <t>Spacer 18</t>
  </si>
  <si>
    <t>/iSp18/</t>
  </si>
  <si>
    <t>Spacer 9</t>
  </si>
  <si>
    <t>/iSp9/</t>
  </si>
  <si>
    <t>Trebler</t>
  </si>
  <si>
    <t>/iTrebler/</t>
  </si>
  <si>
    <t>Inverted dA(A)</t>
  </si>
  <si>
    <t>/iInvdA/</t>
  </si>
  <si>
    <t>Inverted dA(C)</t>
  </si>
  <si>
    <t>/iInvdC/</t>
  </si>
  <si>
    <t>Inverted dA(G)</t>
  </si>
  <si>
    <t>/iInvdG/</t>
  </si>
  <si>
    <t>Inverted dA(T)</t>
  </si>
  <si>
    <t>/iInvdT/</t>
  </si>
  <si>
    <t>beta-L-DNA</t>
  </si>
  <si>
    <t>/iLeftdA/</t>
  </si>
  <si>
    <t>/iLeftdC/</t>
  </si>
  <si>
    <t>/iLeftdG/</t>
  </si>
  <si>
    <t>/iLeftdT/</t>
  </si>
  <si>
    <t>RNA</t>
  </si>
  <si>
    <t>/rA/</t>
  </si>
  <si>
    <t>/rC/</t>
  </si>
  <si>
    <t>/rG/</t>
  </si>
  <si>
    <t>/rU/</t>
  </si>
  <si>
    <t>XNA</t>
  </si>
  <si>
    <t>/iXNA_A/</t>
  </si>
  <si>
    <t>/iXNA_C/</t>
  </si>
  <si>
    <t>/iXNA_G/</t>
  </si>
  <si>
    <t>/iXNA_T/</t>
  </si>
  <si>
    <t>2F-RNA</t>
  </si>
  <si>
    <t>/i2FA/</t>
  </si>
  <si>
    <t>/i2FC/</t>
  </si>
  <si>
    <t>/i2FG/</t>
  </si>
  <si>
    <t>/i2FU/</t>
  </si>
  <si>
    <t>2`-O-Methyl</t>
  </si>
  <si>
    <t>/i2OMeA/</t>
  </si>
  <si>
    <t>/i2OMeC/</t>
  </si>
  <si>
    <t>/i2OMeG/</t>
  </si>
  <si>
    <t>/i2OMeU/</t>
  </si>
  <si>
    <t>2-methoxyethyl</t>
  </si>
  <si>
    <t>/i2MOErA/</t>
  </si>
  <si>
    <t>/i2MOErC/</t>
  </si>
  <si>
    <t>/i2MOErG/</t>
  </si>
  <si>
    <t>/i2MOErT/</t>
  </si>
  <si>
    <t>Gemcitabine(2`dual-F-dC)</t>
  </si>
  <si>
    <t>/iGEM/</t>
  </si>
  <si>
    <r>
      <rPr>
        <b/>
        <sz val="12"/>
        <color indexed="9"/>
        <rFont val="宋体"/>
        <charset val="134"/>
      </rPr>
      <t>纯化方式选择</t>
    </r>
  </si>
  <si>
    <r>
      <rPr>
        <b/>
        <sz val="12"/>
        <color indexed="9"/>
        <rFont val="宋体"/>
        <charset val="134"/>
      </rPr>
      <t>引物修饰列表</t>
    </r>
  </si>
  <si>
    <r>
      <rPr>
        <b/>
        <sz val="12"/>
        <color indexed="9"/>
        <rFont val="宋体"/>
        <charset val="134"/>
      </rPr>
      <t>简并碱基</t>
    </r>
  </si>
  <si>
    <r>
      <rPr>
        <b/>
        <sz val="10"/>
        <color indexed="8"/>
        <rFont val="宋体"/>
        <charset val="134"/>
      </rPr>
      <t>维度</t>
    </r>
  </si>
  <si>
    <r>
      <rPr>
        <b/>
        <sz val="10"/>
        <color indexed="8"/>
        <rFont val="宋体"/>
        <charset val="134"/>
      </rPr>
      <t>纯化方式</t>
    </r>
  </si>
  <si>
    <r>
      <rPr>
        <b/>
        <sz val="10"/>
        <rFont val="Arial"/>
        <charset val="134"/>
      </rPr>
      <t>5'</t>
    </r>
    <r>
      <rPr>
        <b/>
        <sz val="10"/>
        <rFont val="宋体"/>
        <charset val="134"/>
      </rPr>
      <t>修饰</t>
    </r>
  </si>
  <si>
    <r>
      <rPr>
        <b/>
        <sz val="10"/>
        <rFont val="Arial"/>
        <charset val="134"/>
      </rPr>
      <t>3’</t>
    </r>
    <r>
      <rPr>
        <b/>
        <sz val="10"/>
        <rFont val="宋体"/>
        <charset val="134"/>
      </rPr>
      <t>修饰</t>
    </r>
  </si>
  <si>
    <r>
      <rPr>
        <b/>
        <sz val="10"/>
        <rFont val="宋体"/>
        <charset val="134"/>
      </rPr>
      <t>中间修饰</t>
    </r>
  </si>
  <si>
    <r>
      <rPr>
        <b/>
        <sz val="10"/>
        <rFont val="宋体"/>
        <charset val="134"/>
      </rPr>
      <t>中间修饰代码</t>
    </r>
  </si>
  <si>
    <r>
      <rPr>
        <b/>
        <sz val="10"/>
        <rFont val="宋体"/>
        <charset val="134"/>
      </rPr>
      <t>中间修饰碱基</t>
    </r>
  </si>
  <si>
    <r>
      <rPr>
        <b/>
        <sz val="10"/>
        <rFont val="宋体"/>
        <charset val="134"/>
      </rPr>
      <t>简并碱基代码</t>
    </r>
  </si>
  <si>
    <t>PAGE</t>
  </si>
  <si>
    <t>ULTRAPAGE</t>
  </si>
  <si>
    <t>HPLC</t>
  </si>
  <si>
    <t>HPLC_CE (IVD)</t>
  </si>
  <si>
    <t>IE-HPLC</t>
  </si>
  <si>
    <t>2X HPLC</t>
  </si>
  <si>
    <t>PAGE+HPLC</t>
  </si>
  <si>
    <r>
      <rPr>
        <b/>
        <sz val="10"/>
        <rFont val="宋体"/>
        <charset val="134"/>
      </rPr>
      <t>修饰引物仅适用于</t>
    </r>
    <r>
      <rPr>
        <b/>
        <sz val="10"/>
        <rFont val="Arial"/>
        <charset val="134"/>
      </rPr>
      <t>HPLC</t>
    </r>
    <r>
      <rPr>
        <b/>
        <sz val="10"/>
        <rFont val="宋体"/>
        <charset val="134"/>
      </rPr>
      <t>、</t>
    </r>
    <r>
      <rPr>
        <b/>
        <sz val="10"/>
        <rFont val="Arial"/>
        <charset val="134"/>
      </rPr>
      <t>HPLC_CE</t>
    </r>
    <r>
      <rPr>
        <b/>
        <sz val="10"/>
        <rFont val="宋体"/>
        <charset val="134"/>
      </rPr>
      <t>、</t>
    </r>
    <r>
      <rPr>
        <b/>
        <sz val="10"/>
        <rFont val="Arial"/>
        <charset val="134"/>
      </rPr>
      <t>IE-HPLC</t>
    </r>
    <r>
      <rPr>
        <b/>
        <sz val="10"/>
        <rFont val="宋体"/>
        <charset val="134"/>
      </rPr>
      <t>、</t>
    </r>
    <r>
      <rPr>
        <b/>
        <sz val="10"/>
        <rFont val="Arial"/>
        <charset val="134"/>
      </rPr>
      <t>2X HPLC</t>
    </r>
    <r>
      <rPr>
        <b/>
        <sz val="10"/>
        <rFont val="宋体"/>
        <charset val="134"/>
      </rPr>
      <t>和</t>
    </r>
    <r>
      <rPr>
        <b/>
        <sz val="10"/>
        <rFont val="Arial"/>
        <charset val="134"/>
      </rPr>
      <t>PAGE+HPLC</t>
    </r>
    <r>
      <rPr>
        <b/>
        <sz val="10"/>
        <rFont val="宋体"/>
        <charset val="134"/>
      </rPr>
      <t>纯化</t>
    </r>
  </si>
  <si>
    <r>
      <rPr>
        <b/>
        <sz val="10"/>
        <rFont val="宋体"/>
        <charset val="134"/>
      </rPr>
      <t>不适合</t>
    </r>
    <r>
      <rPr>
        <b/>
        <sz val="10"/>
        <rFont val="Arial"/>
        <charset val="134"/>
      </rPr>
      <t>IE-HPLC</t>
    </r>
    <r>
      <rPr>
        <b/>
        <sz val="10"/>
        <rFont val="宋体"/>
        <charset val="134"/>
      </rPr>
      <t>和</t>
    </r>
    <r>
      <rPr>
        <b/>
        <sz val="10"/>
        <rFont val="Arial"/>
        <charset val="134"/>
      </rPr>
      <t>2X HPLC</t>
    </r>
    <r>
      <rPr>
        <b/>
        <sz val="10"/>
        <rFont val="宋体"/>
        <charset val="134"/>
      </rPr>
      <t>纯化</t>
    </r>
  </si>
  <si>
    <r>
      <rPr>
        <b/>
        <sz val="10"/>
        <color indexed="8"/>
        <rFont val="宋体"/>
        <charset val="134"/>
      </rPr>
      <t>按片段长度</t>
    </r>
  </si>
  <si>
    <t>B=C/G/T</t>
  </si>
  <si>
    <r>
      <rPr>
        <sz val="10"/>
        <color indexed="8"/>
        <rFont val="宋体"/>
        <charset val="134"/>
      </rPr>
      <t>短片段（</t>
    </r>
    <r>
      <rPr>
        <sz val="10"/>
        <color indexed="8"/>
        <rFont val="Arial"/>
        <charset val="134"/>
      </rPr>
      <t>~10 mer)</t>
    </r>
  </si>
  <si>
    <r>
      <rPr>
        <sz val="10"/>
        <color indexed="8"/>
        <rFont val="宋体"/>
        <charset val="134"/>
      </rPr>
      <t>√</t>
    </r>
  </si>
  <si>
    <t>D=A/G/T</t>
  </si>
  <si>
    <r>
      <rPr>
        <sz val="10"/>
        <color indexed="8"/>
        <rFont val="宋体"/>
        <charset val="134"/>
      </rPr>
      <t>中片段（</t>
    </r>
    <r>
      <rPr>
        <sz val="10"/>
        <color indexed="8"/>
        <rFont val="Arial"/>
        <charset val="134"/>
      </rPr>
      <t>11~59 mer)</t>
    </r>
  </si>
  <si>
    <t>H=A/C/T</t>
  </si>
  <si>
    <r>
      <rPr>
        <sz val="10"/>
        <color indexed="8"/>
        <rFont val="宋体"/>
        <charset val="134"/>
      </rPr>
      <t>长片段（</t>
    </r>
    <r>
      <rPr>
        <sz val="10"/>
        <color indexed="8"/>
        <rFont val="Arial"/>
        <charset val="134"/>
      </rPr>
      <t>60~130 mer)</t>
    </r>
  </si>
  <si>
    <r>
      <rPr>
        <sz val="10"/>
        <rFont val="Arial"/>
        <charset val="134"/>
      </rPr>
      <t>5`6-FAM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  <r>
      <rPr>
        <sz val="10"/>
        <rFont val="宋体"/>
        <charset val="134"/>
      </rPr>
      <t>（双淬灭）</t>
    </r>
  </si>
  <si>
    <t>I=Universal Base</t>
  </si>
  <si>
    <r>
      <rPr>
        <sz val="10"/>
        <color indexed="8"/>
        <rFont val="宋体"/>
        <charset val="134"/>
      </rPr>
      <t>超长片段（</t>
    </r>
    <r>
      <rPr>
        <sz val="10"/>
        <color indexed="8"/>
        <rFont val="Arial"/>
        <charset val="134"/>
      </rPr>
      <t>131 mer~)*</t>
    </r>
  </si>
  <si>
    <t>K=G/T</t>
  </si>
  <si>
    <r>
      <rPr>
        <b/>
        <sz val="10"/>
        <color indexed="8"/>
        <rFont val="宋体"/>
        <charset val="134"/>
      </rPr>
      <t>按应用</t>
    </r>
  </si>
  <si>
    <t>M=A/C</t>
  </si>
  <si>
    <r>
      <rPr>
        <sz val="10"/>
        <color indexed="8"/>
        <rFont val="宋体"/>
        <charset val="134"/>
      </rPr>
      <t>普通</t>
    </r>
    <r>
      <rPr>
        <sz val="10"/>
        <color indexed="8"/>
        <rFont val="Arial"/>
        <charset val="134"/>
      </rPr>
      <t>PCR/</t>
    </r>
    <r>
      <rPr>
        <sz val="10"/>
        <color indexed="8"/>
        <rFont val="宋体"/>
        <charset val="134"/>
      </rPr>
      <t>多重</t>
    </r>
    <r>
      <rPr>
        <sz val="10"/>
        <color indexed="8"/>
        <rFont val="Arial"/>
        <charset val="134"/>
      </rPr>
      <t>PCR/</t>
    </r>
    <r>
      <rPr>
        <sz val="10"/>
        <color indexed="8"/>
        <rFont val="宋体"/>
        <charset val="134"/>
      </rPr>
      <t>逆转录</t>
    </r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（</t>
    </r>
    <r>
      <rPr>
        <sz val="10"/>
        <color indexed="8"/>
        <rFont val="Arial"/>
        <charset val="134"/>
      </rPr>
      <t>RT-PCR</t>
    </r>
    <r>
      <rPr>
        <sz val="10"/>
        <color indexed="8"/>
        <rFont val="宋体"/>
        <charset val="134"/>
      </rPr>
      <t>）</t>
    </r>
  </si>
  <si>
    <t>N=A/C/G/T</t>
  </si>
  <si>
    <r>
      <rPr>
        <sz val="10"/>
        <color indexed="8"/>
        <rFont val="宋体"/>
        <charset val="134"/>
      </rPr>
      <t>荧光定量</t>
    </r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（</t>
    </r>
    <r>
      <rPr>
        <sz val="10"/>
        <color indexed="8"/>
        <rFont val="Arial"/>
        <charset val="134"/>
      </rPr>
      <t>qPCR</t>
    </r>
    <r>
      <rPr>
        <sz val="10"/>
        <color indexed="8"/>
        <rFont val="宋体"/>
        <charset val="134"/>
      </rPr>
      <t>）</t>
    </r>
    <r>
      <rPr>
        <sz val="10"/>
        <color indexed="8"/>
        <rFont val="Arial"/>
        <charset val="134"/>
      </rPr>
      <t>/</t>
    </r>
    <r>
      <rPr>
        <sz val="10"/>
        <color indexed="8"/>
        <rFont val="宋体"/>
        <charset val="134"/>
      </rPr>
      <t>数字</t>
    </r>
    <r>
      <rPr>
        <sz val="10"/>
        <color indexed="8"/>
        <rFont val="Arial"/>
        <charset val="134"/>
      </rPr>
      <t>PCR</t>
    </r>
    <r>
      <rPr>
        <sz val="10"/>
        <color indexed="8"/>
        <rFont val="宋体"/>
        <charset val="134"/>
      </rPr>
      <t>（</t>
    </r>
    <r>
      <rPr>
        <sz val="10"/>
        <color indexed="8"/>
        <rFont val="Arial"/>
        <charset val="134"/>
      </rPr>
      <t>dPCR</t>
    </r>
    <r>
      <rPr>
        <sz val="10"/>
        <color indexed="8"/>
        <rFont val="宋体"/>
        <charset val="134"/>
      </rPr>
      <t>）</t>
    </r>
  </si>
  <si>
    <t>R=A/G</t>
  </si>
  <si>
    <r>
      <rPr>
        <sz val="10"/>
        <color indexed="8"/>
        <rFont val="宋体"/>
        <charset val="134"/>
      </rPr>
      <t>一代测序（</t>
    </r>
    <r>
      <rPr>
        <sz val="10"/>
        <color indexed="8"/>
        <rFont val="Arial"/>
        <charset val="134"/>
      </rPr>
      <t>Sanger</t>
    </r>
    <r>
      <rPr>
        <sz val="10"/>
        <color indexed="8"/>
        <rFont val="宋体"/>
        <charset val="134"/>
      </rPr>
      <t>）</t>
    </r>
  </si>
  <si>
    <t>S=C/G</t>
  </si>
  <si>
    <r>
      <rPr>
        <sz val="10"/>
        <color indexed="8"/>
        <rFont val="宋体"/>
        <charset val="134"/>
      </rPr>
      <t>高通量测序（</t>
    </r>
    <r>
      <rPr>
        <sz val="10"/>
        <color indexed="8"/>
        <rFont val="Arial"/>
        <charset val="134"/>
      </rPr>
      <t>NGS</t>
    </r>
    <r>
      <rPr>
        <sz val="10"/>
        <color indexed="8"/>
        <rFont val="宋体"/>
        <charset val="134"/>
      </rPr>
      <t>）</t>
    </r>
  </si>
  <si>
    <t>V=A/C/G</t>
  </si>
  <si>
    <r>
      <rPr>
        <sz val="10"/>
        <color indexed="8"/>
        <rFont val="宋体"/>
        <charset val="134"/>
      </rPr>
      <t>全基因合成</t>
    </r>
  </si>
  <si>
    <t>W=A/T</t>
  </si>
  <si>
    <r>
      <rPr>
        <sz val="10"/>
        <color indexed="8"/>
        <rFont val="宋体"/>
        <charset val="134"/>
      </rPr>
      <t>亚克隆</t>
    </r>
    <r>
      <rPr>
        <sz val="10"/>
        <color indexed="8"/>
        <rFont val="Arial"/>
        <charset val="134"/>
      </rPr>
      <t>/</t>
    </r>
    <r>
      <rPr>
        <sz val="10"/>
        <color indexed="8"/>
        <rFont val="宋体"/>
        <charset val="134"/>
      </rPr>
      <t>点突变</t>
    </r>
  </si>
  <si>
    <t>Y=C/T</t>
  </si>
  <si>
    <r>
      <rPr>
        <sz val="10"/>
        <color indexed="8"/>
        <rFont val="宋体"/>
        <charset val="134"/>
      </rPr>
      <t>基因构建</t>
    </r>
    <r>
      <rPr>
        <sz val="10"/>
        <color indexed="8"/>
        <rFont val="Arial"/>
        <charset val="134"/>
      </rPr>
      <t>/RNA</t>
    </r>
    <r>
      <rPr>
        <sz val="10"/>
        <color indexed="8"/>
        <rFont val="宋体"/>
        <charset val="134"/>
      </rPr>
      <t>干扰</t>
    </r>
  </si>
  <si>
    <r>
      <rPr>
        <sz val="10"/>
        <color rgb="FF000000"/>
        <rFont val="Arial"/>
        <charset val="134"/>
      </rPr>
      <t>PCR</t>
    </r>
    <r>
      <rPr>
        <sz val="10"/>
        <color indexed="8"/>
        <rFont val="宋体"/>
        <charset val="134"/>
      </rPr>
      <t>产物用于克隆表达研究或基因重组等</t>
    </r>
  </si>
  <si>
    <r>
      <rPr>
        <sz val="10"/>
        <rFont val="Arial"/>
        <charset val="134"/>
      </rPr>
      <t>5`CY5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  <r>
      <rPr>
        <sz val="10"/>
        <rFont val="宋体"/>
        <charset val="134"/>
      </rPr>
      <t>（双淬灭）</t>
    </r>
  </si>
  <si>
    <r>
      <rPr>
        <sz val="10"/>
        <color indexed="8"/>
        <rFont val="宋体"/>
        <charset val="134"/>
      </rPr>
      <t>反义核酸</t>
    </r>
  </si>
  <si>
    <r>
      <rPr>
        <sz val="10"/>
        <color indexed="8"/>
        <rFont val="宋体"/>
        <charset val="134"/>
      </rPr>
      <t>修饰或标记引物</t>
    </r>
  </si>
  <si>
    <r>
      <rPr>
        <sz val="10"/>
        <color indexed="8"/>
        <rFont val="宋体"/>
        <charset val="134"/>
      </rPr>
      <t>化学及物理应用</t>
    </r>
  </si>
  <si>
    <r>
      <rPr>
        <sz val="10"/>
        <color indexed="8"/>
        <rFont val="宋体"/>
        <charset val="134"/>
      </rPr>
      <t>体外诊断应用</t>
    </r>
  </si>
  <si>
    <r>
      <rPr>
        <sz val="10"/>
        <rFont val="宋体"/>
        <charset val="134"/>
      </rPr>
      <t xml:space="preserve">备注：
</t>
    </r>
    <r>
      <rPr>
        <sz val="10"/>
        <rFont val="Arial"/>
        <charset val="134"/>
      </rPr>
      <t>*</t>
    </r>
    <r>
      <rPr>
        <sz val="10"/>
        <rFont val="宋体"/>
        <charset val="134"/>
      </rPr>
      <t>由于超长片段合成难度较大，我们无法保证其成功率及纯度等，如需合成，请提前与技术支持沟通咨询；</t>
    </r>
  </si>
  <si>
    <r>
      <rPr>
        <sz val="10"/>
        <rFont val="Arial"/>
        <charset val="134"/>
      </rPr>
      <t>5`HEX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  <r>
      <rPr>
        <sz val="10"/>
        <rFont val="宋体"/>
        <charset val="134"/>
      </rPr>
      <t>（双淬灭）</t>
    </r>
  </si>
  <si>
    <t>附加服务项</t>
  </si>
  <si>
    <t>额外QC检测服务</t>
  </si>
  <si>
    <r>
      <rPr>
        <b/>
        <sz val="10"/>
        <rFont val="宋体"/>
        <charset val="134"/>
      </rPr>
      <t>项目名</t>
    </r>
  </si>
  <si>
    <r>
      <rPr>
        <b/>
        <sz val="10"/>
        <rFont val="宋体"/>
        <charset val="134"/>
      </rPr>
      <t>代码</t>
    </r>
  </si>
  <si>
    <t>单位</t>
  </si>
  <si>
    <t>简要说明</t>
  </si>
  <si>
    <r>
      <rPr>
        <b/>
        <sz val="10"/>
        <rFont val="宋体"/>
        <charset val="134"/>
      </rPr>
      <t>适用范围</t>
    </r>
  </si>
  <si>
    <t>HPLC纯度</t>
  </si>
  <si>
    <t>%</t>
  </si>
  <si>
    <t>引物的纯度是否满足对应标准</t>
  </si>
  <si>
    <r>
      <rPr>
        <sz val="10"/>
        <rFont val="宋体"/>
        <charset val="134"/>
      </rPr>
      <t>全系</t>
    </r>
  </si>
  <si>
    <t>CE纯度</t>
  </si>
  <si>
    <t>CE</t>
  </si>
  <si>
    <t>PAGE纯度</t>
  </si>
  <si>
    <t>荧光激发/发射波长</t>
  </si>
  <si>
    <t>Ex/Em</t>
  </si>
  <si>
    <t>nm</t>
  </si>
  <si>
    <t>荧光修饰引物的激发/发射光谱波长是否正常</t>
  </si>
  <si>
    <r>
      <rPr>
        <sz val="10"/>
        <rFont val="宋体"/>
        <charset val="134"/>
      </rPr>
      <t>荧光修饰引物、</t>
    </r>
    <r>
      <rPr>
        <sz val="10"/>
        <rFont val="Arial"/>
        <charset val="134"/>
      </rPr>
      <t>qPCR</t>
    </r>
    <r>
      <rPr>
        <sz val="10"/>
        <rFont val="宋体"/>
        <charset val="134"/>
      </rPr>
      <t>探针</t>
    </r>
  </si>
  <si>
    <t>荧光值酶切增量</t>
  </si>
  <si>
    <t>FLU</t>
  </si>
  <si>
    <t>P/F</t>
  </si>
  <si>
    <t>TaqMan探针、分子信标等常规双标记引物的荧光、淬灭基团功能是否正常</t>
  </si>
  <si>
    <r>
      <rPr>
        <sz val="10"/>
        <rFont val="宋体"/>
        <charset val="134"/>
      </rPr>
      <t>双标记</t>
    </r>
    <r>
      <rPr>
        <sz val="10"/>
        <rFont val="Arial"/>
        <charset val="134"/>
      </rPr>
      <t>qPCR</t>
    </r>
    <r>
      <rPr>
        <sz val="10"/>
        <rFont val="宋体"/>
        <charset val="134"/>
      </rPr>
      <t>探针、分子信标</t>
    </r>
  </si>
  <si>
    <t>人源污染检测</t>
  </si>
  <si>
    <t>HSC</t>
  </si>
  <si>
    <t>引物是否污染人源基因组DNA</t>
  </si>
  <si>
    <t>无模板对照检测</t>
  </si>
  <si>
    <t>NTC</t>
  </si>
  <si>
    <t>qPCR引物探针在无模板体系中是否会体现出不正常的扩增信号</t>
  </si>
  <si>
    <r>
      <rPr>
        <sz val="10"/>
        <rFont val="Arial"/>
        <charset val="134"/>
      </rPr>
      <t>5`ROX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  <r>
      <rPr>
        <sz val="10"/>
        <rFont val="宋体"/>
        <charset val="134"/>
      </rPr>
      <t>（双淬灭）</t>
    </r>
  </si>
  <si>
    <t>交叉污染率</t>
  </si>
  <si>
    <t>CCR</t>
  </si>
  <si>
    <r>
      <rPr>
        <sz val="10"/>
        <rFont val="宋体"/>
        <charset val="134"/>
      </rPr>
      <t>不同引物之间的交叉污染概率</t>
    </r>
  </si>
  <si>
    <r>
      <rPr>
        <sz val="10"/>
        <rFont val="Arial"/>
        <charset val="134"/>
      </rPr>
      <t>NGS</t>
    </r>
    <r>
      <rPr>
        <sz val="10"/>
        <rFont val="宋体"/>
        <charset val="134"/>
      </rPr>
      <t>引物</t>
    </r>
  </si>
  <si>
    <r>
      <rPr>
        <sz val="10"/>
        <rFont val="Arial"/>
        <charset val="134"/>
      </rPr>
      <t>5`Texas Red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3`DBQ2</t>
    </r>
    <r>
      <rPr>
        <sz val="10"/>
        <rFont val="宋体"/>
        <charset val="134"/>
      </rPr>
      <t>（双淬灭）</t>
    </r>
  </si>
  <si>
    <r>
      <rPr>
        <sz val="10"/>
        <rFont val="Arial"/>
        <charset val="134"/>
      </rPr>
      <t>5`VIC</t>
    </r>
    <r>
      <rPr>
        <sz val="10"/>
        <rFont val="宋体"/>
        <charset val="134"/>
      </rPr>
      <t>，</t>
    </r>
    <r>
      <rPr>
        <sz val="10"/>
        <rFont val="Arial"/>
        <charset val="134"/>
      </rPr>
      <t>3`DBQ1</t>
    </r>
    <r>
      <rPr>
        <sz val="10"/>
        <rFont val="宋体"/>
        <charset val="134"/>
      </rPr>
      <t>（双淬灭）</t>
    </r>
  </si>
  <si>
    <r>
      <rPr>
        <sz val="12"/>
        <color indexed="10"/>
        <rFont val="Arial"/>
        <charset val="134"/>
      </rPr>
      <t>OD</t>
    </r>
    <r>
      <rPr>
        <sz val="12"/>
        <color indexed="10"/>
        <rFont val="宋体"/>
        <charset val="134"/>
      </rPr>
      <t>量下单填写示例：</t>
    </r>
  </si>
  <si>
    <t>P1</t>
  </si>
  <si>
    <t>AGCTAGCTAGCTAGCTAGCT</t>
  </si>
  <si>
    <t>P2</t>
  </si>
  <si>
    <t>GCATGCATGCATGCATGCAT</t>
  </si>
  <si>
    <t>P3</t>
  </si>
  <si>
    <t>CAGTCAGTCAGTCAGTCAGT</t>
  </si>
  <si>
    <t>P4</t>
  </si>
  <si>
    <t>TCAGTCAGTCAGTCAGTCAG</t>
  </si>
  <si>
    <t>P5</t>
  </si>
  <si>
    <t>ATCGATCGATCGATCGATCG</t>
  </si>
  <si>
    <r>
      <rPr>
        <sz val="12"/>
        <color indexed="10"/>
        <rFont val="Arial"/>
        <charset val="134"/>
      </rPr>
      <t>nmoles</t>
    </r>
    <r>
      <rPr>
        <sz val="12"/>
        <color indexed="10"/>
        <rFont val="宋体"/>
        <charset val="134"/>
      </rPr>
      <t>下单填写示例：</t>
    </r>
  </si>
  <si>
    <r>
      <rPr>
        <sz val="12"/>
        <color indexed="10"/>
        <rFont val="Arial"/>
        <charset val="134"/>
      </rPr>
      <t>5'</t>
    </r>
    <r>
      <rPr>
        <sz val="12"/>
        <color indexed="10"/>
        <rFont val="宋体"/>
        <charset val="134"/>
      </rPr>
      <t>端修饰填写示例：</t>
    </r>
  </si>
  <si>
    <r>
      <rPr>
        <sz val="12"/>
        <color indexed="10"/>
        <rFont val="Arial"/>
        <charset val="134"/>
      </rPr>
      <t>3'</t>
    </r>
    <r>
      <rPr>
        <sz val="12"/>
        <color indexed="10"/>
        <rFont val="宋体"/>
        <charset val="134"/>
      </rPr>
      <t>端修饰填写示例：</t>
    </r>
  </si>
  <si>
    <r>
      <rPr>
        <sz val="12"/>
        <color indexed="10"/>
        <rFont val="Arial"/>
        <charset val="134"/>
      </rPr>
      <t>5'</t>
    </r>
    <r>
      <rPr>
        <sz val="12"/>
        <color indexed="10"/>
        <rFont val="宋体"/>
        <charset val="134"/>
      </rPr>
      <t>端和</t>
    </r>
    <r>
      <rPr>
        <sz val="12"/>
        <color indexed="10"/>
        <rFont val="Arial"/>
        <charset val="134"/>
      </rPr>
      <t>3’</t>
    </r>
    <r>
      <rPr>
        <sz val="12"/>
        <color indexed="10"/>
        <rFont val="宋体"/>
        <charset val="134"/>
      </rPr>
      <t>端双标记修饰填写示例：</t>
    </r>
  </si>
  <si>
    <t>5`6-FAM，3`BHQ1</t>
  </si>
  <si>
    <t>5`HEX，3`BHQ1</t>
  </si>
  <si>
    <t>5`CY5，3`BHQ2</t>
  </si>
  <si>
    <r>
      <rPr>
        <sz val="12"/>
        <color indexed="10"/>
        <rFont val="宋体"/>
        <charset val="134"/>
      </rPr>
      <t>中间修饰填写示例：</t>
    </r>
  </si>
  <si>
    <r>
      <rPr>
        <sz val="10"/>
        <rFont val="Arial"/>
        <charset val="134"/>
      </rPr>
      <t>AGCTAGCAGC</t>
    </r>
    <r>
      <rPr>
        <sz val="10"/>
        <color indexed="10"/>
        <rFont val="Arial"/>
        <charset val="134"/>
      </rPr>
      <t>/iSp18/</t>
    </r>
    <r>
      <rPr>
        <sz val="10"/>
        <rFont val="Arial"/>
        <charset val="134"/>
      </rPr>
      <t>TAGCTAGCT</t>
    </r>
  </si>
  <si>
    <r>
      <rPr>
        <sz val="10"/>
        <rFont val="Arial"/>
        <charset val="134"/>
      </rPr>
      <t>GCA</t>
    </r>
    <r>
      <rPr>
        <sz val="10"/>
        <color indexed="10"/>
        <rFont val="Arial"/>
        <charset val="134"/>
      </rPr>
      <t>/i6FAMdT/</t>
    </r>
    <r>
      <rPr>
        <sz val="10"/>
        <rFont val="Arial"/>
        <charset val="134"/>
      </rPr>
      <t>GCATGCATGCA</t>
    </r>
    <r>
      <rPr>
        <sz val="10"/>
        <color indexed="10"/>
        <rFont val="Arial"/>
        <charset val="134"/>
      </rPr>
      <t>/iBHQ1dT/</t>
    </r>
    <r>
      <rPr>
        <sz val="10"/>
        <rFont val="Arial"/>
        <charset val="134"/>
      </rPr>
      <t>GCAT</t>
    </r>
  </si>
  <si>
    <r>
      <rPr>
        <sz val="10"/>
        <color indexed="10"/>
        <rFont val="Arial"/>
        <charset val="134"/>
      </rPr>
      <t>/i2OMeA/*</t>
    </r>
    <r>
      <rPr>
        <sz val="10"/>
        <rFont val="Arial"/>
        <charset val="134"/>
      </rPr>
      <t>A</t>
    </r>
    <r>
      <rPr>
        <sz val="10"/>
        <color indexed="10"/>
        <rFont val="Arial"/>
        <charset val="134"/>
      </rPr>
      <t>*</t>
    </r>
    <r>
      <rPr>
        <sz val="10"/>
        <rFont val="Arial"/>
        <charset val="134"/>
      </rPr>
      <t>GTCAGT</t>
    </r>
    <r>
      <rPr>
        <sz val="10"/>
        <color indexed="10"/>
        <rFont val="Arial"/>
        <charset val="134"/>
      </rPr>
      <t>/i5MedC/</t>
    </r>
    <r>
      <rPr>
        <sz val="10"/>
        <rFont val="Arial"/>
        <charset val="134"/>
      </rPr>
      <t>AGT</t>
    </r>
    <r>
      <rPr>
        <sz val="10"/>
        <color indexed="10"/>
        <rFont val="Arial"/>
        <charset val="134"/>
      </rPr>
      <t>/i5MedC/</t>
    </r>
    <r>
      <rPr>
        <sz val="10"/>
        <rFont val="Arial"/>
        <charset val="134"/>
      </rPr>
      <t>AGTCA</t>
    </r>
    <r>
      <rPr>
        <sz val="10"/>
        <color indexed="10"/>
        <rFont val="Arial"/>
        <charset val="134"/>
      </rPr>
      <t>*</t>
    </r>
    <r>
      <rPr>
        <sz val="10"/>
        <rFont val="Arial"/>
        <charset val="134"/>
      </rPr>
      <t>G</t>
    </r>
    <r>
      <rPr>
        <sz val="10"/>
        <color indexed="10"/>
        <rFont val="Arial"/>
        <charset val="134"/>
      </rPr>
      <t>*/i2OMeC/</t>
    </r>
  </si>
  <si>
    <t>*以上为示例，仅供参考。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</si>
</sst>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2">
    <font>
      <sz val="12"/>
      <name val="宋体"/>
      <charset val="134"/>
    </font>
    <font>
      <sz val="12"/>
      <name val="Arial"/>
      <charset val="134"/>
    </font>
    <font>
      <sz val="12"/>
      <color indexed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indexed="10"/>
      <name val="Arial"/>
      <charset val="134"/>
    </font>
    <font>
      <sz val="10"/>
      <name val="宋体"/>
      <charset val="134"/>
    </font>
    <font>
      <b/>
      <sz val="12"/>
      <color theme="0"/>
      <name val="Arial"/>
      <charset val="134"/>
    </font>
    <font>
      <b/>
      <sz val="10"/>
      <color indexed="8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8"/>
      <name val="Arial"/>
      <charset val="134"/>
    </font>
    <font>
      <b/>
      <sz val="12"/>
      <color theme="0"/>
      <name val="宋体"/>
      <charset val="134"/>
    </font>
    <font>
      <b/>
      <sz val="10"/>
      <name val="宋体"/>
      <charset val="134"/>
    </font>
    <font>
      <sz val="10"/>
      <color rgb="FFFF0000"/>
      <name val="Arial"/>
      <charset val="134"/>
    </font>
    <font>
      <b/>
      <sz val="16"/>
      <name val="Arial"/>
      <charset val="134"/>
    </font>
    <font>
      <b/>
      <sz val="16"/>
      <color indexed="30"/>
      <name val="Arial"/>
      <charset val="134"/>
    </font>
    <font>
      <u/>
      <sz val="12"/>
      <color indexed="12"/>
      <name val="宋体"/>
      <charset val="134"/>
    </font>
    <font>
      <b/>
      <i/>
      <sz val="12"/>
      <color indexed="10"/>
      <name val="Arial"/>
      <charset val="134"/>
    </font>
    <font>
      <sz val="9"/>
      <color rgb="FF000000"/>
      <name val="Microsoft YaHei"/>
      <charset val="134"/>
    </font>
    <font>
      <b/>
      <i/>
      <u/>
      <sz val="10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0"/>
      <name val="宋体"/>
      <charset val="134"/>
    </font>
    <font>
      <b/>
      <sz val="12"/>
      <color indexed="9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b/>
      <sz val="10"/>
      <name val="思源黑体 CN Bold"/>
      <charset val="134"/>
    </font>
    <font>
      <b/>
      <sz val="16"/>
      <name val="宋体"/>
      <charset val="134"/>
    </font>
    <font>
      <b/>
      <sz val="10"/>
      <color indexed="62"/>
      <name val="Arial"/>
      <charset val="134"/>
    </font>
    <font>
      <b/>
      <sz val="10"/>
      <color indexed="62"/>
      <name val="宋体"/>
      <charset val="134"/>
    </font>
    <font>
      <b/>
      <i/>
      <u/>
      <sz val="10"/>
      <color indexed="62"/>
      <name val="Arial"/>
      <charset val="134"/>
    </font>
    <font>
      <b/>
      <sz val="12"/>
      <color indexed="10"/>
      <name val="Arial"/>
      <charset val="134"/>
    </font>
    <font>
      <i/>
      <sz val="10"/>
      <color indexed="30"/>
      <name val="Arial"/>
      <charset val="134"/>
    </font>
    <font>
      <i/>
      <sz val="10"/>
      <color indexed="30"/>
      <name val="宋体"/>
      <charset val="134"/>
    </font>
    <font>
      <b/>
      <sz val="10"/>
      <color indexed="10"/>
      <name val="Arial"/>
      <charset val="134"/>
    </font>
    <font>
      <b/>
      <sz val="10"/>
      <color indexed="10"/>
      <name val="宋体"/>
      <charset val="134"/>
    </font>
    <font>
      <b/>
      <i/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  <font>
      <sz val="9"/>
      <color indexed="12"/>
      <name val="宋体"/>
      <charset val="134"/>
    </font>
    <font>
      <sz val="9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22" fillId="17" borderId="1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17" applyNumberFormat="0" applyAlignment="0" applyProtection="0">
      <alignment vertical="center"/>
    </xf>
    <xf numFmtId="0" fontId="31" fillId="19" borderId="18" applyNumberFormat="0" applyAlignment="0" applyProtection="0">
      <alignment vertical="center"/>
    </xf>
    <xf numFmtId="0" fontId="32" fillId="19" borderId="17" applyNumberFormat="0" applyAlignment="0" applyProtection="0">
      <alignment vertical="center"/>
    </xf>
    <xf numFmtId="0" fontId="33" fillId="20" borderId="19" applyNumberFormat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6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vertical="center" wrapText="1"/>
      <protection locked="0"/>
    </xf>
    <xf numFmtId="0" fontId="4" fillId="4" borderId="2" xfId="0" applyFont="1" applyFill="1" applyBorder="1" applyAlignment="1" applyProtection="1">
      <alignment horizontal="center" vertical="center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4" fillId="5" borderId="3" xfId="0" applyFont="1" applyFill="1" applyBorder="1" applyAlignment="1" applyProtection="1">
      <alignment vertical="center" wrapText="1"/>
      <protection locked="0"/>
    </xf>
    <xf numFmtId="0" fontId="5" fillId="5" borderId="3" xfId="0" applyFont="1" applyFill="1" applyBorder="1" applyAlignment="1" applyProtection="1">
      <alignment vertical="center" wrapText="1"/>
      <protection locked="0"/>
    </xf>
    <xf numFmtId="0" fontId="6" fillId="0" borderId="0" xfId="6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vertical="center" wrapText="1"/>
    </xf>
    <xf numFmtId="0" fontId="8" fillId="7" borderId="5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vertical="center" wrapText="1"/>
    </xf>
    <xf numFmtId="0" fontId="8" fillId="7" borderId="8" xfId="0" applyFont="1" applyFill="1" applyBorder="1" applyAlignment="1">
      <alignment vertical="center" wrapText="1"/>
    </xf>
    <xf numFmtId="0" fontId="8" fillId="7" borderId="9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8" borderId="10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1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3" fillId="10" borderId="10" xfId="0" applyFont="1" applyFill="1" applyBorder="1" applyAlignment="1">
      <alignment horizontal="left" vertical="center"/>
    </xf>
    <xf numFmtId="0" fontId="3" fillId="10" borderId="1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13" borderId="1" xfId="0" applyFont="1" applyFill="1" applyBorder="1">
      <alignment vertical="center"/>
    </xf>
    <xf numFmtId="0" fontId="4" fillId="8" borderId="0" xfId="0" applyFont="1" applyFill="1" applyBorder="1" applyAlignment="1" applyProtection="1">
      <alignment horizontal="left" vertical="center"/>
    </xf>
    <xf numFmtId="0" fontId="4" fillId="8" borderId="0" xfId="6" applyFont="1" applyFill="1" applyBorder="1" applyAlignment="1" applyProtection="1">
      <alignment horizontal="left" vertical="center" wrapText="1"/>
      <protection locked="0"/>
    </xf>
    <xf numFmtId="0" fontId="4" fillId="8" borderId="0" xfId="0" applyFont="1" applyFill="1" applyBorder="1" applyAlignment="1" applyProtection="1">
      <alignment vertical="center" wrapText="1"/>
    </xf>
    <xf numFmtId="0" fontId="4" fillId="8" borderId="0" xfId="0" applyFont="1" applyFill="1" applyAlignment="1" applyProtection="1">
      <alignment horizontal="left" vertical="center"/>
    </xf>
    <xf numFmtId="0" fontId="4" fillId="8" borderId="0" xfId="0" applyFont="1" applyFill="1" applyAlignment="1" applyProtection="1">
      <alignment vertical="center"/>
    </xf>
    <xf numFmtId="0" fontId="1" fillId="8" borderId="0" xfId="0" applyFont="1" applyFill="1" applyProtection="1">
      <alignment vertical="center"/>
    </xf>
    <xf numFmtId="0" fontId="1" fillId="8" borderId="0" xfId="0" applyFont="1" applyFill="1" applyAlignment="1" applyProtection="1">
      <alignment vertical="center"/>
    </xf>
    <xf numFmtId="0" fontId="4" fillId="8" borderId="4" xfId="0" applyFont="1" applyFill="1" applyBorder="1" applyAlignment="1" applyProtection="1">
      <alignment horizontal="center"/>
      <protection locked="0"/>
    </xf>
    <xf numFmtId="0" fontId="15" fillId="8" borderId="5" xfId="0" applyFont="1" applyFill="1" applyBorder="1" applyAlignment="1" applyProtection="1">
      <alignment horizontal="center" vertical="center" wrapText="1"/>
      <protection locked="0"/>
    </xf>
    <xf numFmtId="0" fontId="4" fillId="8" borderId="12" xfId="0" applyFont="1" applyFill="1" applyBorder="1" applyAlignment="1" applyProtection="1">
      <alignment horizontal="center"/>
      <protection locked="0"/>
    </xf>
    <xf numFmtId="0" fontId="15" fillId="8" borderId="0" xfId="0" applyFont="1" applyFill="1" applyBorder="1" applyAlignment="1" applyProtection="1">
      <alignment horizontal="center" vertical="center" wrapText="1"/>
      <protection locked="0"/>
    </xf>
    <xf numFmtId="0" fontId="4" fillId="14" borderId="0" xfId="0" applyFont="1" applyFill="1" applyBorder="1" applyAlignment="1" applyProtection="1">
      <alignment horizontal="center"/>
      <protection locked="0"/>
    </xf>
    <xf numFmtId="0" fontId="1" fillId="14" borderId="0" xfId="0" applyFont="1" applyFill="1" applyBorder="1" applyProtection="1">
      <alignment vertical="center"/>
      <protection locked="0"/>
    </xf>
    <xf numFmtId="0" fontId="16" fillId="15" borderId="0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0" fontId="13" fillId="3" borderId="7" xfId="0" applyFont="1" applyFill="1" applyBorder="1" applyAlignment="1" applyProtection="1">
      <alignment horizontal="center"/>
      <protection locked="0"/>
    </xf>
    <xf numFmtId="0" fontId="3" fillId="3" borderId="9" xfId="0" applyFont="1" applyFill="1" applyBorder="1" applyAlignment="1" applyProtection="1">
      <alignment horizontal="center"/>
      <protection locked="0"/>
    </xf>
    <xf numFmtId="0" fontId="4" fillId="16" borderId="12" xfId="6" applyFont="1" applyFill="1" applyBorder="1" applyAlignment="1" applyProtection="1">
      <alignment vertical="center" wrapText="1"/>
      <protection locked="0"/>
    </xf>
    <xf numFmtId="0" fontId="4" fillId="16" borderId="0" xfId="6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 applyProtection="1">
      <alignment horizontal="center" vertical="center"/>
      <protection locked="0"/>
    </xf>
    <xf numFmtId="0" fontId="17" fillId="3" borderId="3" xfId="6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/>
      <protection locked="0"/>
    </xf>
    <xf numFmtId="0" fontId="3" fillId="3" borderId="11" xfId="0" applyFont="1" applyFill="1" applyBorder="1" applyAlignment="1" applyProtection="1">
      <alignment horizontal="center"/>
      <protection locked="0"/>
    </xf>
    <xf numFmtId="0" fontId="4" fillId="16" borderId="7" xfId="6" applyFont="1" applyFill="1" applyBorder="1" applyAlignment="1" applyProtection="1">
      <alignment vertical="center" wrapText="1"/>
      <protection locked="0"/>
    </xf>
    <xf numFmtId="0" fontId="4" fillId="16" borderId="8" xfId="6" applyFont="1" applyFill="1" applyBorder="1" applyAlignment="1" applyProtection="1">
      <alignment vertical="center" wrapText="1"/>
      <protection locked="0"/>
    </xf>
    <xf numFmtId="0" fontId="4" fillId="16" borderId="4" xfId="0" applyFont="1" applyFill="1" applyBorder="1" applyAlignment="1" applyProtection="1">
      <alignment horizontal="left" wrapText="1"/>
      <protection locked="0"/>
    </xf>
    <xf numFmtId="0" fontId="4" fillId="16" borderId="5" xfId="0" applyFont="1" applyFill="1" applyBorder="1" applyAlignment="1" applyProtection="1">
      <alignment horizontal="left" wrapText="1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4" fillId="16" borderId="12" xfId="0" applyFont="1" applyFill="1" applyBorder="1" applyAlignment="1" applyProtection="1">
      <alignment horizontal="left" wrapText="1"/>
      <protection locked="0"/>
    </xf>
    <xf numFmtId="0" fontId="4" fillId="16" borderId="0" xfId="0" applyFont="1" applyFill="1" applyBorder="1" applyAlignment="1" applyProtection="1">
      <alignment horizontal="left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16" borderId="7" xfId="0" applyFont="1" applyFill="1" applyBorder="1" applyAlignment="1" applyProtection="1">
      <alignment horizontal="left" wrapText="1"/>
      <protection locked="0"/>
    </xf>
    <xf numFmtId="0" fontId="4" fillId="16" borderId="8" xfId="0" applyFont="1" applyFill="1" applyBorder="1" applyAlignment="1" applyProtection="1">
      <alignment horizontal="left" wrapText="1"/>
      <protection locked="0"/>
    </xf>
    <xf numFmtId="0" fontId="4" fillId="16" borderId="1" xfId="6" applyFont="1" applyFill="1" applyBorder="1" applyAlignment="1" applyProtection="1">
      <alignment horizontal="center" vertical="center" wrapText="1"/>
      <protection locked="0"/>
    </xf>
    <xf numFmtId="0" fontId="18" fillId="16" borderId="3" xfId="0" applyFont="1" applyFill="1" applyBorder="1" applyAlignment="1" applyProtection="1">
      <alignment horizontal="left" vertical="center" wrapText="1"/>
      <protection hidden="1"/>
    </xf>
    <xf numFmtId="0" fontId="18" fillId="16" borderId="10" xfId="0" applyFont="1" applyFill="1" applyBorder="1" applyAlignment="1" applyProtection="1">
      <alignment horizontal="left" vertical="center" wrapText="1"/>
      <protection hidden="1"/>
    </xf>
    <xf numFmtId="0" fontId="3" fillId="0" borderId="1" xfId="6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>
      <alignment vertical="center"/>
    </xf>
    <xf numFmtId="0" fontId="4" fillId="4" borderId="2" xfId="0" applyFont="1" applyFill="1" applyBorder="1" applyAlignment="1" applyProtection="1">
      <alignment horizontal="center" vertical="center"/>
      <protection hidden="1"/>
    </xf>
    <xf numFmtId="0" fontId="6" fillId="3" borderId="3" xfId="0" applyFont="1" applyFill="1" applyBorder="1" applyAlignment="1" applyProtection="1">
      <alignment vertical="center" wrapText="1"/>
      <protection locked="0"/>
    </xf>
    <xf numFmtId="0" fontId="15" fillId="8" borderId="5" xfId="0" applyFont="1" applyFill="1" applyBorder="1" applyAlignment="1" applyProtection="1">
      <alignment vertical="center" wrapText="1"/>
      <protection locked="0"/>
    </xf>
    <xf numFmtId="0" fontId="3" fillId="8" borderId="0" xfId="0" applyFont="1" applyFill="1" applyBorder="1" applyAlignment="1" applyProtection="1">
      <alignment horizontal="center" vertical="center" wrapText="1"/>
      <protection locked="0"/>
    </xf>
    <xf numFmtId="14" fontId="20" fillId="8" borderId="0" xfId="0" applyNumberFormat="1" applyFont="1" applyFill="1" applyBorder="1" applyAlignment="1" applyProtection="1">
      <alignment horizontal="center" vertical="center"/>
      <protection hidden="1"/>
    </xf>
    <xf numFmtId="0" fontId="4" fillId="8" borderId="0" xfId="6" applyFont="1" applyFill="1" applyBorder="1" applyAlignment="1" applyProtection="1">
      <alignment vertical="center" wrapText="1"/>
      <protection locked="0"/>
    </xf>
    <xf numFmtId="0" fontId="21" fillId="16" borderId="8" xfId="6" applyFont="1" applyFill="1" applyBorder="1" applyAlignment="1" applyProtection="1">
      <alignment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0</xdr:row>
      <xdr:rowOff>152400</xdr:rowOff>
    </xdr:from>
    <xdr:to>
      <xdr:col>2</xdr:col>
      <xdr:colOff>171450</xdr:colOff>
      <xdr:row>1</xdr:row>
      <xdr:rowOff>219075</xdr:rowOff>
    </xdr:to>
    <xdr:pic>
      <xdr:nvPicPr>
        <xdr:cNvPr id="1618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6275" y="152400"/>
          <a:ext cx="23907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U317"/>
  <sheetViews>
    <sheetView showGridLines="0" showZeros="0" tabSelected="1" topLeftCell="A8" workbookViewId="0">
      <selection activeCell="C21" sqref="C21"/>
    </sheetView>
  </sheetViews>
  <sheetFormatPr defaultColWidth="8.75" defaultRowHeight="15"/>
  <cols>
    <col min="1" max="1" width="16.5" style="94" customWidth="1"/>
    <col min="2" max="2" width="21.5" style="94" customWidth="1"/>
    <col min="3" max="3" width="53.8" style="94" customWidth="1"/>
    <col min="4" max="4" width="8.5" style="94" customWidth="1"/>
    <col min="5" max="5" width="7.625" style="94" customWidth="1"/>
    <col min="6" max="6" width="13.875" style="94" customWidth="1"/>
    <col min="7" max="7" width="10.625" style="94" customWidth="1"/>
    <col min="8" max="8" width="21" style="94" customWidth="1"/>
    <col min="9" max="10" width="18.25" style="94" customWidth="1"/>
    <col min="11" max="11" width="21" style="94" customWidth="1"/>
    <col min="12" max="12" width="9.625" style="95" customWidth="1"/>
    <col min="13" max="252" width="9" style="95" customWidth="1"/>
    <col min="253" max="16384" width="8.75" style="95"/>
  </cols>
  <sheetData>
    <row r="1" customHeight="1" spans="1:11">
      <c r="A1" s="96"/>
      <c r="B1" s="97" t="s">
        <v>0</v>
      </c>
      <c r="C1" s="97" t="s">
        <v>1</v>
      </c>
      <c r="D1" s="97"/>
      <c r="E1" s="97"/>
      <c r="F1" s="97"/>
      <c r="G1" s="97"/>
      <c r="H1" s="97"/>
      <c r="I1" s="97"/>
      <c r="J1" s="136"/>
      <c r="K1" s="99"/>
    </row>
    <row r="2" ht="30" customHeight="1" spans="1:11">
      <c r="A2" s="98"/>
      <c r="B2" s="99"/>
      <c r="C2" s="99"/>
      <c r="D2" s="99"/>
      <c r="E2" s="99"/>
      <c r="F2" s="99"/>
      <c r="G2" s="99"/>
      <c r="H2" s="99"/>
      <c r="I2" s="99"/>
      <c r="J2" s="137" t="s">
        <v>2</v>
      </c>
      <c r="K2" s="138">
        <f ca="1">NOW()</f>
        <v>45352.8494791667</v>
      </c>
    </row>
    <row r="3" ht="3" customHeight="1" spans="1:11">
      <c r="A3" s="100"/>
      <c r="B3" s="101"/>
      <c r="C3" s="102"/>
      <c r="D3" s="102"/>
      <c r="E3" s="102"/>
      <c r="F3" s="102"/>
      <c r="G3" s="102"/>
      <c r="H3" s="102"/>
      <c r="I3" s="102"/>
      <c r="J3" s="102"/>
      <c r="K3" s="102"/>
    </row>
    <row r="4" s="89" customFormat="1" ht="17.25" customHeight="1" spans="1:11">
      <c r="A4" s="103" t="s">
        <v>3</v>
      </c>
      <c r="B4" s="104">
        <v>1</v>
      </c>
      <c r="C4" s="105"/>
      <c r="D4" s="106" t="s">
        <v>4</v>
      </c>
      <c r="E4" s="107"/>
      <c r="F4" s="107"/>
      <c r="G4" s="107"/>
      <c r="H4" s="107"/>
      <c r="I4" s="107" t="s">
        <v>5</v>
      </c>
      <c r="J4" s="107"/>
      <c r="K4" s="107"/>
    </row>
    <row r="5" s="90" customFormat="1" ht="17.25" customHeight="1" spans="1:11">
      <c r="A5" s="108" t="s">
        <v>6</v>
      </c>
      <c r="B5" s="109"/>
      <c r="C5" s="110"/>
      <c r="D5" s="106" t="s">
        <v>7</v>
      </c>
      <c r="E5" s="107"/>
      <c r="F5" s="107"/>
      <c r="G5" s="107"/>
      <c r="H5" s="107"/>
      <c r="I5" s="107" t="s">
        <v>8</v>
      </c>
      <c r="J5" s="107"/>
      <c r="K5" s="107"/>
    </row>
    <row r="6" s="91" customFormat="1" ht="17.25" customHeight="1" spans="1:255">
      <c r="A6" s="108" t="s">
        <v>9</v>
      </c>
      <c r="B6" s="111">
        <v>1</v>
      </c>
      <c r="C6" s="110"/>
      <c r="D6" s="106" t="s">
        <v>10</v>
      </c>
      <c r="E6" s="107"/>
      <c r="F6" s="107"/>
      <c r="G6" s="107"/>
      <c r="H6" s="107"/>
      <c r="I6" s="107" t="s">
        <v>11</v>
      </c>
      <c r="J6" s="107"/>
      <c r="K6" s="107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  <c r="DI6" s="139"/>
      <c r="DJ6" s="139"/>
      <c r="DK6" s="139"/>
      <c r="DL6" s="139"/>
      <c r="DM6" s="139"/>
      <c r="DN6" s="139"/>
      <c r="DO6" s="139"/>
      <c r="DP6" s="139"/>
      <c r="DQ6" s="139"/>
      <c r="DR6" s="139"/>
      <c r="DS6" s="139"/>
      <c r="DT6" s="139"/>
      <c r="DU6" s="139"/>
      <c r="DV6" s="139"/>
      <c r="DW6" s="139"/>
      <c r="DX6" s="139"/>
      <c r="DY6" s="139"/>
      <c r="DZ6" s="139"/>
      <c r="EA6" s="139"/>
      <c r="EB6" s="139"/>
      <c r="EC6" s="139"/>
      <c r="ED6" s="139"/>
      <c r="EE6" s="139"/>
      <c r="EF6" s="139"/>
      <c r="EG6" s="139"/>
      <c r="EH6" s="139"/>
      <c r="EI6" s="139"/>
      <c r="EJ6" s="139"/>
      <c r="EK6" s="139"/>
      <c r="EL6" s="139"/>
      <c r="EM6" s="139"/>
      <c r="EN6" s="139"/>
      <c r="EO6" s="139"/>
      <c r="EP6" s="139"/>
      <c r="EQ6" s="139"/>
      <c r="ER6" s="139"/>
      <c r="ES6" s="139"/>
      <c r="ET6" s="139"/>
      <c r="EU6" s="139"/>
      <c r="EV6" s="139"/>
      <c r="EW6" s="139"/>
      <c r="EX6" s="139"/>
      <c r="EY6" s="139"/>
      <c r="EZ6" s="139"/>
      <c r="FA6" s="139"/>
      <c r="FB6" s="139"/>
      <c r="FC6" s="139"/>
      <c r="FD6" s="139"/>
      <c r="FE6" s="139"/>
      <c r="FF6" s="139"/>
      <c r="FG6" s="139"/>
      <c r="FH6" s="139"/>
      <c r="FI6" s="139"/>
      <c r="FJ6" s="139"/>
      <c r="FK6" s="139"/>
      <c r="FL6" s="139"/>
      <c r="FM6" s="139"/>
      <c r="FN6" s="139"/>
      <c r="FO6" s="139"/>
      <c r="FP6" s="139"/>
      <c r="FQ6" s="139"/>
      <c r="FR6" s="139"/>
      <c r="FS6" s="139"/>
      <c r="FT6" s="139"/>
      <c r="FU6" s="139"/>
      <c r="FV6" s="139"/>
      <c r="FW6" s="139"/>
      <c r="FX6" s="139"/>
      <c r="FY6" s="139"/>
      <c r="FZ6" s="139"/>
      <c r="GA6" s="139"/>
      <c r="GB6" s="139"/>
      <c r="GC6" s="139"/>
      <c r="GD6" s="139"/>
      <c r="GE6" s="139"/>
      <c r="GF6" s="139"/>
      <c r="GG6" s="139"/>
      <c r="GH6" s="139"/>
      <c r="GI6" s="139"/>
      <c r="GJ6" s="139"/>
      <c r="GK6" s="139"/>
      <c r="GL6" s="139"/>
      <c r="GM6" s="139"/>
      <c r="GN6" s="139"/>
      <c r="GO6" s="139"/>
      <c r="GP6" s="139"/>
      <c r="GQ6" s="139"/>
      <c r="GR6" s="139"/>
      <c r="GS6" s="139"/>
      <c r="GT6" s="139"/>
      <c r="GU6" s="139"/>
      <c r="GV6" s="139"/>
      <c r="GW6" s="139"/>
      <c r="GX6" s="139"/>
      <c r="GY6" s="139"/>
      <c r="GZ6" s="139"/>
      <c r="HA6" s="139"/>
      <c r="HB6" s="139"/>
      <c r="HC6" s="139"/>
      <c r="HD6" s="139"/>
      <c r="HE6" s="139"/>
      <c r="HF6" s="139"/>
      <c r="HG6" s="139"/>
      <c r="HH6" s="139"/>
      <c r="HI6" s="139"/>
      <c r="HJ6" s="139"/>
      <c r="HK6" s="139"/>
      <c r="HL6" s="139"/>
      <c r="HM6" s="139"/>
      <c r="HN6" s="139"/>
      <c r="HO6" s="139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  <c r="IJ6" s="139"/>
      <c r="IK6" s="139"/>
      <c r="IL6" s="139"/>
      <c r="IM6" s="139"/>
      <c r="IN6" s="139"/>
      <c r="IO6" s="139"/>
      <c r="IP6" s="139"/>
      <c r="IQ6" s="139"/>
      <c r="IR6" s="139"/>
      <c r="IS6" s="139"/>
      <c r="IT6" s="139"/>
      <c r="IU6" s="139"/>
    </row>
    <row r="7" s="89" customFormat="1" ht="17.25" customHeight="1" spans="1:11">
      <c r="A7" s="108" t="s">
        <v>12</v>
      </c>
      <c r="B7" s="112">
        <v>1</v>
      </c>
      <c r="C7" s="113"/>
      <c r="D7" s="114" t="s">
        <v>13</v>
      </c>
      <c r="E7" s="115"/>
      <c r="F7" s="115"/>
      <c r="G7" s="115"/>
      <c r="H7" s="115"/>
      <c r="I7" s="140" t="s">
        <v>14</v>
      </c>
      <c r="J7" s="140"/>
      <c r="K7" s="140"/>
    </row>
    <row r="8" s="92" customFormat="1" ht="17.25" customHeight="1" spans="1:11">
      <c r="A8" s="108" t="s">
        <v>15</v>
      </c>
      <c r="B8" s="109"/>
      <c r="C8" s="110"/>
      <c r="D8" s="116" t="s">
        <v>16</v>
      </c>
      <c r="E8" s="117"/>
      <c r="F8" s="117"/>
      <c r="G8" s="117"/>
      <c r="H8" s="117"/>
      <c r="I8" s="117"/>
      <c r="J8" s="117"/>
      <c r="K8" s="117"/>
    </row>
    <row r="9" s="92" customFormat="1" ht="17.25" customHeight="1" spans="1:11">
      <c r="A9" s="108" t="s">
        <v>17</v>
      </c>
      <c r="B9" s="118">
        <v>1</v>
      </c>
      <c r="C9" s="110"/>
      <c r="D9" s="119"/>
      <c r="E9" s="120"/>
      <c r="F9" s="120"/>
      <c r="G9" s="120"/>
      <c r="H9" s="120"/>
      <c r="I9" s="120"/>
      <c r="J9" s="120"/>
      <c r="K9" s="120"/>
    </row>
    <row r="10" s="92" customFormat="1" ht="17.25" customHeight="1" spans="1:11">
      <c r="A10" s="108" t="s">
        <v>18</v>
      </c>
      <c r="B10" s="118">
        <v>1</v>
      </c>
      <c r="C10" s="110"/>
      <c r="D10" s="119"/>
      <c r="E10" s="120"/>
      <c r="F10" s="120"/>
      <c r="G10" s="120"/>
      <c r="H10" s="120"/>
      <c r="I10" s="120"/>
      <c r="J10" s="120"/>
      <c r="K10" s="120"/>
    </row>
    <row r="11" s="92" customFormat="1" ht="17.25" customHeight="1" spans="1:11">
      <c r="A11" s="108" t="s">
        <v>19</v>
      </c>
      <c r="B11" s="109"/>
      <c r="C11" s="110"/>
      <c r="D11" s="119"/>
      <c r="E11" s="120"/>
      <c r="F11" s="120"/>
      <c r="G11" s="120"/>
      <c r="H11" s="120"/>
      <c r="I11" s="120"/>
      <c r="J11" s="120"/>
      <c r="K11" s="120"/>
    </row>
    <row r="12" s="92" customFormat="1" ht="17.25" customHeight="1" spans="1:11">
      <c r="A12" s="108" t="s">
        <v>20</v>
      </c>
      <c r="B12" s="109"/>
      <c r="C12" s="110"/>
      <c r="D12" s="119"/>
      <c r="E12" s="120"/>
      <c r="F12" s="120"/>
      <c r="G12" s="120"/>
      <c r="H12" s="120"/>
      <c r="I12" s="120"/>
      <c r="J12" s="120"/>
      <c r="K12" s="120"/>
    </row>
    <row r="13" s="92" customFormat="1" ht="17.25" customHeight="1" spans="1:11">
      <c r="A13" s="108" t="s">
        <v>21</v>
      </c>
      <c r="B13" s="121"/>
      <c r="C13" s="122"/>
      <c r="D13" s="119"/>
      <c r="E13" s="120"/>
      <c r="F13" s="120"/>
      <c r="G13" s="120"/>
      <c r="H13" s="120"/>
      <c r="I13" s="120"/>
      <c r="J13" s="120"/>
      <c r="K13" s="120"/>
    </row>
    <row r="14" s="92" customFormat="1" ht="17.25" customHeight="1" spans="1:11">
      <c r="A14" s="108" t="s">
        <v>22</v>
      </c>
      <c r="B14" s="109"/>
      <c r="C14" s="110"/>
      <c r="D14" s="119"/>
      <c r="E14" s="120"/>
      <c r="F14" s="120"/>
      <c r="G14" s="120"/>
      <c r="H14" s="120"/>
      <c r="I14" s="120"/>
      <c r="J14" s="120"/>
      <c r="K14" s="120"/>
    </row>
    <row r="15" s="92" customFormat="1" ht="17.25" customHeight="1" spans="1:11">
      <c r="A15" s="123" t="s">
        <v>23</v>
      </c>
      <c r="B15" s="124"/>
      <c r="C15" s="125"/>
      <c r="D15" s="126"/>
      <c r="E15" s="127"/>
      <c r="F15" s="127"/>
      <c r="G15" s="127"/>
      <c r="H15" s="127"/>
      <c r="I15" s="127"/>
      <c r="J15" s="127"/>
      <c r="K15" s="127"/>
    </row>
    <row r="16" s="92" customFormat="1" ht="17.25" customHeight="1" spans="1:11">
      <c r="A16" s="123" t="s">
        <v>24</v>
      </c>
      <c r="B16" s="124"/>
      <c r="C16" s="125"/>
      <c r="D16" s="128" t="s">
        <v>25</v>
      </c>
      <c r="E16" s="129">
        <f>SUM(D18:D113)</f>
        <v>184</v>
      </c>
      <c r="F16" s="130"/>
      <c r="G16" s="130"/>
      <c r="H16" s="130"/>
      <c r="I16" s="130"/>
      <c r="J16" s="130"/>
      <c r="K16" s="130"/>
    </row>
    <row r="17" s="93" customFormat="1" ht="17.25" customHeight="1" spans="1:11">
      <c r="A17" s="3" t="s">
        <v>26</v>
      </c>
      <c r="B17" s="4" t="s">
        <v>27</v>
      </c>
      <c r="C17" s="4" t="s">
        <v>28</v>
      </c>
      <c r="D17" s="4" t="s">
        <v>29</v>
      </c>
      <c r="E17" s="4" t="s">
        <v>30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35</v>
      </c>
      <c r="K17" s="4" t="s">
        <v>36</v>
      </c>
    </row>
    <row r="18" s="93" customFormat="1" ht="15.75" customHeight="1" spans="1:11">
      <c r="A18" s="131" t="s">
        <v>37</v>
      </c>
      <c r="B18" s="132" t="s">
        <v>38</v>
      </c>
      <c r="C18" s="133" t="s">
        <v>39</v>
      </c>
      <c r="D18" s="134">
        <v>46</v>
      </c>
      <c r="E18" s="11">
        <v>1</v>
      </c>
      <c r="F18" s="11">
        <v>2</v>
      </c>
      <c r="G18" s="10" t="s">
        <v>40</v>
      </c>
      <c r="H18" s="132"/>
      <c r="I18" s="16"/>
      <c r="J18" s="16"/>
      <c r="K18" s="16"/>
    </row>
    <row r="19" s="93" customFormat="1" ht="29" customHeight="1" spans="1:11">
      <c r="A19" s="131" t="s">
        <v>41</v>
      </c>
      <c r="B19" s="132" t="s">
        <v>42</v>
      </c>
      <c r="C19" s="135" t="s">
        <v>43</v>
      </c>
      <c r="D19" s="134">
        <v>47</v>
      </c>
      <c r="E19" s="11">
        <v>1</v>
      </c>
      <c r="F19" s="11">
        <v>2</v>
      </c>
      <c r="G19" s="10" t="s">
        <v>40</v>
      </c>
      <c r="H19" s="132"/>
      <c r="I19" s="16"/>
      <c r="J19" s="16"/>
      <c r="K19" s="16"/>
    </row>
    <row r="20" s="93" customFormat="1" ht="15.75" customHeight="1" spans="1:11">
      <c r="A20" s="131" t="s">
        <v>44</v>
      </c>
      <c r="B20" s="132" t="s">
        <v>45</v>
      </c>
      <c r="C20" s="135" t="s">
        <v>46</v>
      </c>
      <c r="D20" s="134">
        <v>44</v>
      </c>
      <c r="E20" s="11">
        <v>1</v>
      </c>
      <c r="F20" s="11">
        <v>2</v>
      </c>
      <c r="G20" s="10" t="s">
        <v>40</v>
      </c>
      <c r="H20" s="132"/>
      <c r="I20" s="16"/>
      <c r="J20" s="16"/>
      <c r="K20" s="16"/>
    </row>
    <row r="21" s="93" customFormat="1" ht="15.75" customHeight="1" spans="1:11">
      <c r="A21" s="131" t="s">
        <v>47</v>
      </c>
      <c r="B21" s="132" t="s">
        <v>48</v>
      </c>
      <c r="C21" s="135" t="s">
        <v>43</v>
      </c>
      <c r="D21" s="134">
        <v>47</v>
      </c>
      <c r="E21" s="11">
        <v>1</v>
      </c>
      <c r="F21" s="11">
        <v>2</v>
      </c>
      <c r="G21" s="10" t="s">
        <v>40</v>
      </c>
      <c r="H21" s="11"/>
      <c r="I21" s="16"/>
      <c r="J21" s="16"/>
      <c r="K21" s="16"/>
    </row>
    <row r="22" s="93" customFormat="1" ht="15.75" customHeight="1" spans="1:11">
      <c r="A22" s="131" t="s">
        <v>49</v>
      </c>
      <c r="B22" s="11"/>
      <c r="C22" s="135"/>
      <c r="D22" s="134"/>
      <c r="E22" s="11"/>
      <c r="F22" s="11"/>
      <c r="G22" s="10"/>
      <c r="H22" s="11"/>
      <c r="I22" s="16"/>
      <c r="J22" s="16"/>
      <c r="K22" s="16"/>
    </row>
    <row r="23" s="93" customFormat="1" ht="15.75" customHeight="1" spans="1:11">
      <c r="A23" s="131" t="s">
        <v>50</v>
      </c>
      <c r="B23" s="11"/>
      <c r="C23" s="135"/>
      <c r="D23" s="134"/>
      <c r="E23" s="11"/>
      <c r="F23" s="11"/>
      <c r="G23" s="10"/>
      <c r="H23" s="11"/>
      <c r="I23" s="16"/>
      <c r="J23" s="16"/>
      <c r="K23" s="16"/>
    </row>
    <row r="24" s="93" customFormat="1" ht="15.75" customHeight="1" spans="1:11">
      <c r="A24" s="131" t="s">
        <v>51</v>
      </c>
      <c r="B24" s="11"/>
      <c r="C24" s="135"/>
      <c r="D24" s="134"/>
      <c r="E24" s="11"/>
      <c r="F24" s="11"/>
      <c r="G24" s="10"/>
      <c r="H24" s="11"/>
      <c r="I24" s="16"/>
      <c r="J24" s="16"/>
      <c r="K24" s="16"/>
    </row>
    <row r="25" s="93" customFormat="1" ht="15.75" customHeight="1" spans="1:11">
      <c r="A25" s="131" t="s">
        <v>52</v>
      </c>
      <c r="B25" s="11"/>
      <c r="C25" s="135"/>
      <c r="D25" s="134">
        <f t="array" ref="D25">LEN(C25)-SUM((LEN(C25)-LEN(SUBSTITUTE(C25,修饰名称!$E$2:$E$93,修饰名称!$F$2:$F$93))))</f>
        <v>0</v>
      </c>
      <c r="E25" s="11"/>
      <c r="F25" s="11"/>
      <c r="G25" s="10"/>
      <c r="H25" s="11"/>
      <c r="I25" s="16"/>
      <c r="J25" s="16"/>
      <c r="K25" s="16"/>
    </row>
    <row r="26" s="93" customFormat="1" ht="15.75" customHeight="1" spans="1:11">
      <c r="A26" s="131" t="s">
        <v>53</v>
      </c>
      <c r="B26" s="11"/>
      <c r="C26" s="135"/>
      <c r="D26" s="134">
        <f t="array" ref="D26">LEN(C26)-SUM((LEN(C26)-LEN(SUBSTITUTE(C26,修饰名称!$E$2:$E$93,修饰名称!$F$2:$F$93))))</f>
        <v>0</v>
      </c>
      <c r="E26" s="11"/>
      <c r="F26" s="11"/>
      <c r="G26" s="10"/>
      <c r="H26" s="11"/>
      <c r="I26" s="16"/>
      <c r="J26" s="16"/>
      <c r="K26" s="16"/>
    </row>
    <row r="27" s="93" customFormat="1" ht="15.75" customHeight="1" spans="1:11">
      <c r="A27" s="131" t="s">
        <v>54</v>
      </c>
      <c r="B27" s="11"/>
      <c r="C27" s="135"/>
      <c r="D27" s="134">
        <f t="array" ref="D27">LEN(C27)-SUM((LEN(C27)-LEN(SUBSTITUTE(C27,修饰名称!$E$2:$E$93,修饰名称!$F$2:$F$93))))</f>
        <v>0</v>
      </c>
      <c r="E27" s="11"/>
      <c r="F27" s="11"/>
      <c r="G27" s="10"/>
      <c r="H27" s="11"/>
      <c r="I27" s="16"/>
      <c r="J27" s="16"/>
      <c r="K27" s="16"/>
    </row>
    <row r="28" s="93" customFormat="1" ht="15.75" customHeight="1" spans="1:11">
      <c r="A28" s="131" t="s">
        <v>55</v>
      </c>
      <c r="B28" s="11"/>
      <c r="C28" s="135"/>
      <c r="D28" s="134">
        <f t="array" ref="D28">LEN(C28)-SUM((LEN(C28)-LEN(SUBSTITUTE(C28,修饰名称!$E$2:$E$93,修饰名称!$F$2:$F$93))))</f>
        <v>0</v>
      </c>
      <c r="E28" s="11"/>
      <c r="F28" s="11"/>
      <c r="G28" s="10"/>
      <c r="H28" s="11"/>
      <c r="I28" s="16"/>
      <c r="J28" s="16"/>
      <c r="K28" s="16"/>
    </row>
    <row r="29" s="93" customFormat="1" ht="15.75" customHeight="1" spans="1:11">
      <c r="A29" s="131" t="s">
        <v>56</v>
      </c>
      <c r="B29" s="11"/>
      <c r="C29" s="135"/>
      <c r="D29" s="134">
        <f t="array" ref="D29">LEN(C29)-SUM((LEN(C29)-LEN(SUBSTITUTE(C29,修饰名称!$E$2:$E$93,修饰名称!$F$2:$F$93))))</f>
        <v>0</v>
      </c>
      <c r="E29" s="11"/>
      <c r="F29" s="11"/>
      <c r="G29" s="10"/>
      <c r="H29" s="11"/>
      <c r="I29" s="16"/>
      <c r="J29" s="16"/>
      <c r="K29" s="16"/>
    </row>
    <row r="30" s="93" customFormat="1" ht="15.75" customHeight="1" spans="1:11">
      <c r="A30" s="131" t="s">
        <v>57</v>
      </c>
      <c r="B30" s="11"/>
      <c r="C30" s="135"/>
      <c r="D30" s="134">
        <f t="array" ref="D30">LEN(C30)-SUM((LEN(C30)-LEN(SUBSTITUTE(C30,修饰名称!$E$2:$E$93,修饰名称!$F$2:$F$93))))</f>
        <v>0</v>
      </c>
      <c r="E30" s="11"/>
      <c r="F30" s="11"/>
      <c r="G30" s="10"/>
      <c r="H30" s="11"/>
      <c r="I30" s="16"/>
      <c r="J30" s="16"/>
      <c r="K30" s="16"/>
    </row>
    <row r="31" s="93" customFormat="1" ht="15.75" customHeight="1" spans="1:11">
      <c r="A31" s="131" t="s">
        <v>58</v>
      </c>
      <c r="B31" s="11"/>
      <c r="C31" s="135"/>
      <c r="D31" s="134">
        <f t="array" ref="D31">LEN(C31)-SUM((LEN(C31)-LEN(SUBSTITUTE(C31,修饰名称!$E$2:$E$93,修饰名称!$F$2:$F$93))))</f>
        <v>0</v>
      </c>
      <c r="E31" s="11"/>
      <c r="F31" s="11"/>
      <c r="G31" s="10"/>
      <c r="H31" s="11"/>
      <c r="I31" s="16"/>
      <c r="J31" s="16"/>
      <c r="K31" s="16"/>
    </row>
    <row r="32" s="93" customFormat="1" ht="15.75" customHeight="1" spans="1:11">
      <c r="A32" s="131" t="s">
        <v>59</v>
      </c>
      <c r="B32" s="11"/>
      <c r="C32" s="135"/>
      <c r="D32" s="134">
        <f t="array" ref="D32">LEN(C32)-SUM((LEN(C32)-LEN(SUBSTITUTE(C32,修饰名称!$E$2:$E$93,修饰名称!$F$2:$F$93))))</f>
        <v>0</v>
      </c>
      <c r="E32" s="11"/>
      <c r="F32" s="11"/>
      <c r="G32" s="10"/>
      <c r="H32" s="11"/>
      <c r="I32" s="16"/>
      <c r="J32" s="16"/>
      <c r="K32" s="16"/>
    </row>
    <row r="33" s="93" customFormat="1" ht="15.75" customHeight="1" spans="1:11">
      <c r="A33" s="131" t="s">
        <v>60</v>
      </c>
      <c r="B33" s="11"/>
      <c r="C33" s="135"/>
      <c r="D33" s="134">
        <f t="array" ref="D33">LEN(C33)-SUM((LEN(C33)-LEN(SUBSTITUTE(C33,修饰名称!$E$2:$E$93,修饰名称!$F$2:$F$93))))</f>
        <v>0</v>
      </c>
      <c r="E33" s="11"/>
      <c r="F33" s="11"/>
      <c r="G33" s="10"/>
      <c r="H33" s="11"/>
      <c r="I33" s="16"/>
      <c r="J33" s="16"/>
      <c r="K33" s="16"/>
    </row>
    <row r="34" s="93" customFormat="1" ht="15.75" customHeight="1" spans="1:11">
      <c r="A34" s="131" t="s">
        <v>61</v>
      </c>
      <c r="B34" s="11"/>
      <c r="C34" s="135"/>
      <c r="D34" s="134">
        <f t="array" ref="D34">LEN(C34)-SUM((LEN(C34)-LEN(SUBSTITUTE(C34,修饰名称!$E$2:$E$93,修饰名称!$F$2:$F$93))))</f>
        <v>0</v>
      </c>
      <c r="E34" s="11"/>
      <c r="F34" s="11"/>
      <c r="G34" s="10"/>
      <c r="H34" s="11"/>
      <c r="I34" s="16"/>
      <c r="J34" s="16"/>
      <c r="K34" s="16"/>
    </row>
    <row r="35" s="93" customFormat="1" ht="15.75" customHeight="1" spans="1:11">
      <c r="A35" s="131" t="s">
        <v>62</v>
      </c>
      <c r="B35" s="11"/>
      <c r="C35" s="135"/>
      <c r="D35" s="134">
        <f t="array" ref="D35">LEN(C35)-SUM((LEN(C35)-LEN(SUBSTITUTE(C35,修饰名称!$E$2:$E$93,修饰名称!$F$2:$F$93))))</f>
        <v>0</v>
      </c>
      <c r="E35" s="11"/>
      <c r="F35" s="11"/>
      <c r="G35" s="10"/>
      <c r="H35" s="11"/>
      <c r="I35" s="16"/>
      <c r="J35" s="16"/>
      <c r="K35" s="16"/>
    </row>
    <row r="36" s="93" customFormat="1" ht="15.75" customHeight="1" spans="1:11">
      <c r="A36" s="131" t="s">
        <v>63</v>
      </c>
      <c r="B36" s="11"/>
      <c r="C36" s="135"/>
      <c r="D36" s="134">
        <f t="array" ref="D36">LEN(C36)-SUM((LEN(C36)-LEN(SUBSTITUTE(C36,修饰名称!$E$2:$E$93,修饰名称!$F$2:$F$93))))</f>
        <v>0</v>
      </c>
      <c r="E36" s="11"/>
      <c r="F36" s="11"/>
      <c r="G36" s="10"/>
      <c r="H36" s="11"/>
      <c r="I36" s="16"/>
      <c r="J36" s="16"/>
      <c r="K36" s="16"/>
    </row>
    <row r="37" s="93" customFormat="1" ht="15.75" customHeight="1" spans="1:11">
      <c r="A37" s="131" t="s">
        <v>64</v>
      </c>
      <c r="B37" s="11"/>
      <c r="C37" s="135"/>
      <c r="D37" s="134">
        <f t="array" ref="D37">LEN(C37)-SUM((LEN(C37)-LEN(SUBSTITUTE(C37,修饰名称!$E$2:$E$93,修饰名称!$F$2:$F$93))))</f>
        <v>0</v>
      </c>
      <c r="E37" s="11"/>
      <c r="F37" s="11"/>
      <c r="G37" s="10"/>
      <c r="H37" s="11"/>
      <c r="I37" s="16"/>
      <c r="J37" s="16"/>
      <c r="K37" s="16"/>
    </row>
    <row r="38" s="93" customFormat="1" ht="15.75" customHeight="1" spans="1:11">
      <c r="A38" s="131" t="s">
        <v>65</v>
      </c>
      <c r="B38" s="11"/>
      <c r="C38" s="135"/>
      <c r="D38" s="134">
        <f t="array" ref="D38">LEN(C38)-SUM((LEN(C38)-LEN(SUBSTITUTE(C38,修饰名称!$E$2:$E$93,修饰名称!$F$2:$F$93))))</f>
        <v>0</v>
      </c>
      <c r="E38" s="11"/>
      <c r="F38" s="11"/>
      <c r="G38" s="10"/>
      <c r="H38" s="11"/>
      <c r="I38" s="16"/>
      <c r="J38" s="16"/>
      <c r="K38" s="16"/>
    </row>
    <row r="39" s="93" customFormat="1" ht="15.75" customHeight="1" spans="1:11">
      <c r="A39" s="131" t="s">
        <v>66</v>
      </c>
      <c r="B39" s="11"/>
      <c r="C39" s="135"/>
      <c r="D39" s="134">
        <f t="array" ref="D39">LEN(C39)-SUM((LEN(C39)-LEN(SUBSTITUTE(C39,修饰名称!$E$2:$E$93,修饰名称!$F$2:$F$93))))</f>
        <v>0</v>
      </c>
      <c r="E39" s="11"/>
      <c r="F39" s="11"/>
      <c r="G39" s="10"/>
      <c r="H39" s="11"/>
      <c r="I39" s="16"/>
      <c r="J39" s="16"/>
      <c r="K39" s="16"/>
    </row>
    <row r="40" s="93" customFormat="1" ht="15.75" customHeight="1" spans="1:11">
      <c r="A40" s="131" t="s">
        <v>67</v>
      </c>
      <c r="B40" s="11"/>
      <c r="C40" s="135"/>
      <c r="D40" s="134">
        <f t="array" ref="D40">LEN(C40)-SUM((LEN(C40)-LEN(SUBSTITUTE(C40,修饰名称!$E$2:$E$93,修饰名称!$F$2:$F$93))))</f>
        <v>0</v>
      </c>
      <c r="E40" s="11"/>
      <c r="F40" s="11"/>
      <c r="G40" s="10"/>
      <c r="H40" s="11"/>
      <c r="I40" s="16"/>
      <c r="J40" s="16"/>
      <c r="K40" s="16"/>
    </row>
    <row r="41" s="93" customFormat="1" ht="15.75" customHeight="1" spans="1:11">
      <c r="A41" s="131" t="s">
        <v>68</v>
      </c>
      <c r="B41" s="11"/>
      <c r="C41" s="135"/>
      <c r="D41" s="134">
        <f t="array" ref="D41">LEN(C41)-SUM((LEN(C41)-LEN(SUBSTITUTE(C41,修饰名称!$E$2:$E$93,修饰名称!$F$2:$F$93))))</f>
        <v>0</v>
      </c>
      <c r="E41" s="11"/>
      <c r="F41" s="11"/>
      <c r="G41" s="10"/>
      <c r="H41" s="11"/>
      <c r="I41" s="16"/>
      <c r="J41" s="16"/>
      <c r="K41" s="16"/>
    </row>
    <row r="42" s="93" customFormat="1" ht="15.75" customHeight="1" spans="1:11">
      <c r="A42" s="131" t="s">
        <v>69</v>
      </c>
      <c r="B42" s="11"/>
      <c r="C42" s="135"/>
      <c r="D42" s="134">
        <f t="array" ref="D42">LEN(C42)-SUM((LEN(C42)-LEN(SUBSTITUTE(C42,修饰名称!$E$2:$E$93,修饰名称!$F$2:$F$93))))</f>
        <v>0</v>
      </c>
      <c r="E42" s="11"/>
      <c r="F42" s="11"/>
      <c r="G42" s="10"/>
      <c r="H42" s="11"/>
      <c r="I42" s="16"/>
      <c r="J42" s="16"/>
      <c r="K42" s="16"/>
    </row>
    <row r="43" s="93" customFormat="1" ht="15.75" customHeight="1" spans="1:11">
      <c r="A43" s="131" t="s">
        <v>70</v>
      </c>
      <c r="B43" s="11"/>
      <c r="C43" s="135"/>
      <c r="D43" s="134">
        <f t="array" ref="D43">LEN(C43)-SUM((LEN(C43)-LEN(SUBSTITUTE(C43,修饰名称!$E$2:$E$93,修饰名称!$F$2:$F$93))))</f>
        <v>0</v>
      </c>
      <c r="E43" s="11"/>
      <c r="F43" s="11"/>
      <c r="G43" s="10"/>
      <c r="H43" s="11"/>
      <c r="I43" s="16"/>
      <c r="J43" s="16"/>
      <c r="K43" s="16"/>
    </row>
    <row r="44" s="93" customFormat="1" ht="15.75" customHeight="1" spans="1:11">
      <c r="A44" s="131" t="s">
        <v>71</v>
      </c>
      <c r="B44" s="11"/>
      <c r="C44" s="135"/>
      <c r="D44" s="134">
        <f t="array" ref="D44">LEN(C44)-SUM((LEN(C44)-LEN(SUBSTITUTE(C44,修饰名称!$E$2:$E$93,修饰名称!$F$2:$F$93))))</f>
        <v>0</v>
      </c>
      <c r="E44" s="11"/>
      <c r="F44" s="11"/>
      <c r="G44" s="10"/>
      <c r="H44" s="11"/>
      <c r="I44" s="16"/>
      <c r="J44" s="16"/>
      <c r="K44" s="16"/>
    </row>
    <row r="45" s="93" customFormat="1" ht="15.75" customHeight="1" spans="1:11">
      <c r="A45" s="131" t="s">
        <v>72</v>
      </c>
      <c r="B45" s="11"/>
      <c r="C45" s="135"/>
      <c r="D45" s="134">
        <f t="array" ref="D45">LEN(C45)-SUM((LEN(C45)-LEN(SUBSTITUTE(C45,修饰名称!$E$2:$E$93,修饰名称!$F$2:$F$93))))</f>
        <v>0</v>
      </c>
      <c r="E45" s="11"/>
      <c r="F45" s="11"/>
      <c r="G45" s="10"/>
      <c r="H45" s="11"/>
      <c r="I45" s="16"/>
      <c r="J45" s="16"/>
      <c r="K45" s="16"/>
    </row>
    <row r="46" s="93" customFormat="1" ht="15.75" customHeight="1" spans="1:11">
      <c r="A46" s="131" t="s">
        <v>73</v>
      </c>
      <c r="B46" s="11"/>
      <c r="C46" s="135"/>
      <c r="D46" s="134">
        <f t="array" ref="D46">LEN(C46)-SUM((LEN(C46)-LEN(SUBSTITUTE(C46,修饰名称!$E$2:$E$93,修饰名称!$F$2:$F$93))))</f>
        <v>0</v>
      </c>
      <c r="E46" s="11"/>
      <c r="F46" s="11"/>
      <c r="G46" s="10"/>
      <c r="H46" s="11"/>
      <c r="I46" s="16"/>
      <c r="J46" s="16"/>
      <c r="K46" s="16"/>
    </row>
    <row r="47" s="93" customFormat="1" ht="15.75" customHeight="1" spans="1:11">
      <c r="A47" s="131" t="s">
        <v>74</v>
      </c>
      <c r="B47" s="11"/>
      <c r="C47" s="135"/>
      <c r="D47" s="134">
        <f t="array" ref="D47">LEN(C47)-SUM((LEN(C47)-LEN(SUBSTITUTE(C47,修饰名称!$E$2:$E$93,修饰名称!$F$2:$F$93))))</f>
        <v>0</v>
      </c>
      <c r="E47" s="11"/>
      <c r="F47" s="11"/>
      <c r="G47" s="10"/>
      <c r="H47" s="11"/>
      <c r="I47" s="16"/>
      <c r="J47" s="16"/>
      <c r="K47" s="16"/>
    </row>
    <row r="48" s="93" customFormat="1" ht="15.75" customHeight="1" spans="1:11">
      <c r="A48" s="131" t="s">
        <v>75</v>
      </c>
      <c r="B48" s="11"/>
      <c r="C48" s="135"/>
      <c r="D48" s="134">
        <f t="array" ref="D48">LEN(C48)-SUM((LEN(C48)-LEN(SUBSTITUTE(C48,修饰名称!$E$2:$E$93,修饰名称!$F$2:$F$93))))</f>
        <v>0</v>
      </c>
      <c r="E48" s="11"/>
      <c r="F48" s="11"/>
      <c r="G48" s="10"/>
      <c r="H48" s="11"/>
      <c r="I48" s="16"/>
      <c r="J48" s="16"/>
      <c r="K48" s="16"/>
    </row>
    <row r="49" s="93" customFormat="1" ht="15.75" customHeight="1" spans="1:11">
      <c r="A49" s="131" t="s">
        <v>76</v>
      </c>
      <c r="B49" s="11"/>
      <c r="C49" s="135"/>
      <c r="D49" s="134">
        <f t="array" ref="D49">LEN(C49)-SUM((LEN(C49)-LEN(SUBSTITUTE(C49,修饰名称!$E$2:$E$93,修饰名称!$F$2:$F$93))))</f>
        <v>0</v>
      </c>
      <c r="E49" s="11"/>
      <c r="F49" s="11"/>
      <c r="G49" s="10"/>
      <c r="H49" s="11"/>
      <c r="I49" s="16"/>
      <c r="J49" s="16"/>
      <c r="K49" s="16"/>
    </row>
    <row r="50" s="93" customFormat="1" ht="15.75" customHeight="1" spans="1:11">
      <c r="A50" s="131" t="s">
        <v>77</v>
      </c>
      <c r="B50" s="11"/>
      <c r="C50" s="135"/>
      <c r="D50" s="134">
        <f t="array" ref="D50">LEN(C50)-SUM((LEN(C50)-LEN(SUBSTITUTE(C50,修饰名称!$E$2:$E$93,修饰名称!$F$2:$F$93))))</f>
        <v>0</v>
      </c>
      <c r="E50" s="11"/>
      <c r="F50" s="11"/>
      <c r="G50" s="10"/>
      <c r="H50" s="11"/>
      <c r="I50" s="16"/>
      <c r="J50" s="16"/>
      <c r="K50" s="16"/>
    </row>
    <row r="51" s="93" customFormat="1" ht="15.75" customHeight="1" spans="1:11">
      <c r="A51" s="131" t="s">
        <v>78</v>
      </c>
      <c r="B51" s="11"/>
      <c r="C51" s="135"/>
      <c r="D51" s="134">
        <f t="array" ref="D51">LEN(C51)-SUM((LEN(C51)-LEN(SUBSTITUTE(C51,修饰名称!$E$2:$E$93,修饰名称!$F$2:$F$93))))</f>
        <v>0</v>
      </c>
      <c r="E51" s="11"/>
      <c r="F51" s="11"/>
      <c r="G51" s="10"/>
      <c r="H51" s="11"/>
      <c r="I51" s="16"/>
      <c r="J51" s="16"/>
      <c r="K51" s="16"/>
    </row>
    <row r="52" s="93" customFormat="1" ht="15.75" customHeight="1" spans="1:11">
      <c r="A52" s="131" t="s">
        <v>79</v>
      </c>
      <c r="B52" s="11"/>
      <c r="C52" s="135"/>
      <c r="D52" s="134">
        <f t="array" ref="D52">LEN(C52)-SUM((LEN(C52)-LEN(SUBSTITUTE(C52,修饰名称!$E$2:$E$93,修饰名称!$F$2:$F$93))))</f>
        <v>0</v>
      </c>
      <c r="E52" s="11"/>
      <c r="F52" s="11"/>
      <c r="G52" s="10"/>
      <c r="H52" s="11"/>
      <c r="I52" s="16"/>
      <c r="J52" s="16"/>
      <c r="K52" s="16"/>
    </row>
    <row r="53" s="93" customFormat="1" ht="15.75" customHeight="1" spans="1:11">
      <c r="A53" s="131" t="s">
        <v>80</v>
      </c>
      <c r="B53" s="11"/>
      <c r="C53" s="135"/>
      <c r="D53" s="134">
        <f t="array" ref="D53">LEN(C53)-SUM((LEN(C53)-LEN(SUBSTITUTE(C53,修饰名称!$E$2:$E$93,修饰名称!$F$2:$F$93))))</f>
        <v>0</v>
      </c>
      <c r="E53" s="11"/>
      <c r="F53" s="11"/>
      <c r="G53" s="10"/>
      <c r="H53" s="11"/>
      <c r="I53" s="16"/>
      <c r="J53" s="16"/>
      <c r="K53" s="16"/>
    </row>
    <row r="54" s="93" customFormat="1" ht="15.75" customHeight="1" spans="1:11">
      <c r="A54" s="131" t="s">
        <v>81</v>
      </c>
      <c r="B54" s="11"/>
      <c r="C54" s="135"/>
      <c r="D54" s="134">
        <f t="array" ref="D54">LEN(C54)-SUM((LEN(C54)-LEN(SUBSTITUTE(C54,修饰名称!$E$2:$E$93,修饰名称!$F$2:$F$93))))</f>
        <v>0</v>
      </c>
      <c r="E54" s="11"/>
      <c r="F54" s="11"/>
      <c r="G54" s="10"/>
      <c r="H54" s="11"/>
      <c r="I54" s="16"/>
      <c r="J54" s="16"/>
      <c r="K54" s="16"/>
    </row>
    <row r="55" s="93" customFormat="1" ht="15.75" customHeight="1" spans="1:11">
      <c r="A55" s="131" t="s">
        <v>82</v>
      </c>
      <c r="B55" s="11"/>
      <c r="C55" s="135"/>
      <c r="D55" s="134">
        <f t="array" ref="D55">LEN(C55)-SUM((LEN(C55)-LEN(SUBSTITUTE(C55,修饰名称!$E$2:$E$93,修饰名称!$F$2:$F$93))))</f>
        <v>0</v>
      </c>
      <c r="E55" s="11"/>
      <c r="F55" s="11"/>
      <c r="G55" s="10"/>
      <c r="H55" s="11"/>
      <c r="I55" s="16"/>
      <c r="J55" s="16"/>
      <c r="K55" s="16"/>
    </row>
    <row r="56" s="93" customFormat="1" ht="15.75" customHeight="1" spans="1:11">
      <c r="A56" s="131" t="s">
        <v>83</v>
      </c>
      <c r="B56" s="11"/>
      <c r="C56" s="135"/>
      <c r="D56" s="134">
        <f t="array" ref="D56">LEN(C56)-SUM((LEN(C56)-LEN(SUBSTITUTE(C56,修饰名称!$E$2:$E$93,修饰名称!$F$2:$F$93))))</f>
        <v>0</v>
      </c>
      <c r="E56" s="11"/>
      <c r="F56" s="11"/>
      <c r="G56" s="10"/>
      <c r="H56" s="11"/>
      <c r="I56" s="16"/>
      <c r="J56" s="16"/>
      <c r="K56" s="16"/>
    </row>
    <row r="57" s="93" customFormat="1" ht="15.75" customHeight="1" spans="1:11">
      <c r="A57" s="131" t="s">
        <v>84</v>
      </c>
      <c r="B57" s="11"/>
      <c r="C57" s="135"/>
      <c r="D57" s="134">
        <f t="array" ref="D57">LEN(C57)-SUM((LEN(C57)-LEN(SUBSTITUTE(C57,修饰名称!$E$2:$E$93,修饰名称!$F$2:$F$93))))</f>
        <v>0</v>
      </c>
      <c r="E57" s="11"/>
      <c r="F57" s="11"/>
      <c r="G57" s="10"/>
      <c r="H57" s="11"/>
      <c r="I57" s="16"/>
      <c r="J57" s="16"/>
      <c r="K57" s="16"/>
    </row>
    <row r="58" s="93" customFormat="1" ht="15.75" customHeight="1" spans="1:11">
      <c r="A58" s="131" t="s">
        <v>85</v>
      </c>
      <c r="B58" s="11"/>
      <c r="C58" s="135"/>
      <c r="D58" s="134">
        <f t="array" ref="D58">LEN(C58)-SUM((LEN(C58)-LEN(SUBSTITUTE(C58,修饰名称!$E$2:$E$93,修饰名称!$F$2:$F$93))))</f>
        <v>0</v>
      </c>
      <c r="E58" s="11"/>
      <c r="F58" s="11"/>
      <c r="G58" s="10"/>
      <c r="H58" s="11"/>
      <c r="I58" s="16"/>
      <c r="J58" s="16"/>
      <c r="K58" s="16"/>
    </row>
    <row r="59" s="93" customFormat="1" ht="15.75" customHeight="1" spans="1:11">
      <c r="A59" s="131" t="s">
        <v>86</v>
      </c>
      <c r="B59" s="11"/>
      <c r="C59" s="135"/>
      <c r="D59" s="134">
        <f t="array" ref="D59">LEN(C59)-SUM((LEN(C59)-LEN(SUBSTITUTE(C59,修饰名称!$E$2:$E$93,修饰名称!$F$2:$F$93))))</f>
        <v>0</v>
      </c>
      <c r="E59" s="11"/>
      <c r="F59" s="11"/>
      <c r="G59" s="10"/>
      <c r="H59" s="11"/>
      <c r="I59" s="16"/>
      <c r="J59" s="16"/>
      <c r="K59" s="16"/>
    </row>
    <row r="60" s="93" customFormat="1" ht="15.75" customHeight="1" spans="1:11">
      <c r="A60" s="131" t="s">
        <v>87</v>
      </c>
      <c r="B60" s="11"/>
      <c r="C60" s="135"/>
      <c r="D60" s="134">
        <f t="array" ref="D60">LEN(C60)-SUM((LEN(C60)-LEN(SUBSTITUTE(C60,修饰名称!$E$2:$E$93,修饰名称!$F$2:$F$93))))</f>
        <v>0</v>
      </c>
      <c r="E60" s="11"/>
      <c r="F60" s="11"/>
      <c r="G60" s="10"/>
      <c r="H60" s="11"/>
      <c r="I60" s="16"/>
      <c r="J60" s="16"/>
      <c r="K60" s="16"/>
    </row>
    <row r="61" s="93" customFormat="1" ht="15.75" customHeight="1" spans="1:11">
      <c r="A61" s="131" t="s">
        <v>88</v>
      </c>
      <c r="B61" s="11"/>
      <c r="C61" s="135"/>
      <c r="D61" s="134">
        <f t="array" ref="D61">LEN(C61)-SUM((LEN(C61)-LEN(SUBSTITUTE(C61,修饰名称!$E$2:$E$93,修饰名称!$F$2:$F$93))))</f>
        <v>0</v>
      </c>
      <c r="E61" s="11"/>
      <c r="F61" s="11"/>
      <c r="G61" s="10"/>
      <c r="H61" s="11"/>
      <c r="I61" s="16"/>
      <c r="J61" s="16"/>
      <c r="K61" s="16"/>
    </row>
    <row r="62" s="93" customFormat="1" ht="15.75" customHeight="1" spans="1:11">
      <c r="A62" s="131" t="s">
        <v>89</v>
      </c>
      <c r="B62" s="11"/>
      <c r="C62" s="135"/>
      <c r="D62" s="134">
        <f t="array" ref="D62">LEN(C62)-SUM((LEN(C62)-LEN(SUBSTITUTE(C62,修饰名称!$E$2:$E$93,修饰名称!$F$2:$F$93))))</f>
        <v>0</v>
      </c>
      <c r="E62" s="11"/>
      <c r="F62" s="11"/>
      <c r="G62" s="10"/>
      <c r="H62" s="11"/>
      <c r="I62" s="16"/>
      <c r="J62" s="16"/>
      <c r="K62" s="16"/>
    </row>
    <row r="63" s="93" customFormat="1" ht="15.75" customHeight="1" spans="1:11">
      <c r="A63" s="131" t="s">
        <v>90</v>
      </c>
      <c r="B63" s="11"/>
      <c r="C63" s="135"/>
      <c r="D63" s="134">
        <f t="array" ref="D63">LEN(C63)-SUM((LEN(C63)-LEN(SUBSTITUTE(C63,修饰名称!$E$2:$E$93,修饰名称!$F$2:$F$93))))</f>
        <v>0</v>
      </c>
      <c r="E63" s="11"/>
      <c r="F63" s="11"/>
      <c r="G63" s="10"/>
      <c r="H63" s="11"/>
      <c r="I63" s="16"/>
      <c r="J63" s="16"/>
      <c r="K63" s="16"/>
    </row>
    <row r="64" s="93" customFormat="1" ht="15.75" customHeight="1" spans="1:11">
      <c r="A64" s="131" t="s">
        <v>91</v>
      </c>
      <c r="B64" s="11"/>
      <c r="C64" s="135"/>
      <c r="D64" s="134">
        <f t="array" ref="D64">LEN(C64)-SUM((LEN(C64)-LEN(SUBSTITUTE(C64,修饰名称!$E$2:$E$93,修饰名称!$F$2:$F$93))))</f>
        <v>0</v>
      </c>
      <c r="E64" s="11"/>
      <c r="F64" s="11"/>
      <c r="G64" s="10"/>
      <c r="H64" s="11"/>
      <c r="I64" s="16"/>
      <c r="J64" s="16"/>
      <c r="K64" s="16"/>
    </row>
    <row r="65" s="93" customFormat="1" ht="15.75" customHeight="1" spans="1:11">
      <c r="A65" s="131" t="s">
        <v>92</v>
      </c>
      <c r="B65" s="11"/>
      <c r="C65" s="135"/>
      <c r="D65" s="134">
        <f t="array" ref="D65">LEN(C65)-SUM((LEN(C65)-LEN(SUBSTITUTE(C65,修饰名称!$E$2:$E$93,修饰名称!$F$2:$F$93))))</f>
        <v>0</v>
      </c>
      <c r="E65" s="11"/>
      <c r="F65" s="11"/>
      <c r="G65" s="10"/>
      <c r="H65" s="11"/>
      <c r="I65" s="16"/>
      <c r="J65" s="16"/>
      <c r="K65" s="16"/>
    </row>
    <row r="66" ht="15.75" customHeight="1" spans="1:11">
      <c r="A66" s="131" t="s">
        <v>93</v>
      </c>
      <c r="B66" s="11"/>
      <c r="C66" s="135"/>
      <c r="D66" s="134">
        <f t="array" ref="D66">LEN(C66)-SUM((LEN(C66)-LEN(SUBSTITUTE(C66,修饰名称!$E$2:$E$93,修饰名称!$F$2:$F$93))))</f>
        <v>0</v>
      </c>
      <c r="E66" s="11"/>
      <c r="F66" s="11"/>
      <c r="G66" s="10"/>
      <c r="H66" s="11"/>
      <c r="I66" s="16"/>
      <c r="J66" s="16"/>
      <c r="K66" s="16"/>
    </row>
    <row r="67" ht="15.75" customHeight="1" spans="1:11">
      <c r="A67" s="131" t="s">
        <v>94</v>
      </c>
      <c r="B67" s="11"/>
      <c r="C67" s="135"/>
      <c r="D67" s="134">
        <f t="array" ref="D67">LEN(C67)-SUM((LEN(C67)-LEN(SUBSTITUTE(C67,修饰名称!$E$2:$E$93,修饰名称!$F$2:$F$93))))</f>
        <v>0</v>
      </c>
      <c r="E67" s="11"/>
      <c r="F67" s="11"/>
      <c r="G67" s="10"/>
      <c r="H67" s="11"/>
      <c r="I67" s="16"/>
      <c r="J67" s="16"/>
      <c r="K67" s="16"/>
    </row>
    <row r="68" ht="15.75" customHeight="1" spans="1:11">
      <c r="A68" s="131" t="s">
        <v>95</v>
      </c>
      <c r="B68" s="11"/>
      <c r="C68" s="135"/>
      <c r="D68" s="134">
        <f t="array" ref="D68">LEN(C68)-SUM((LEN(C68)-LEN(SUBSTITUTE(C68,修饰名称!$E$2:$E$93,修饰名称!$F$2:$F$93))))</f>
        <v>0</v>
      </c>
      <c r="E68" s="11"/>
      <c r="F68" s="11"/>
      <c r="G68" s="10"/>
      <c r="H68" s="11"/>
      <c r="I68" s="16"/>
      <c r="J68" s="16"/>
      <c r="K68" s="16"/>
    </row>
    <row r="69" ht="15.75" customHeight="1" spans="1:11">
      <c r="A69" s="131" t="s">
        <v>96</v>
      </c>
      <c r="B69" s="11"/>
      <c r="C69" s="135"/>
      <c r="D69" s="134">
        <f t="array" ref="D69">LEN(C69)-SUM((LEN(C69)-LEN(SUBSTITUTE(C69,修饰名称!$E$2:$E$93,修饰名称!$F$2:$F$93))))</f>
        <v>0</v>
      </c>
      <c r="E69" s="11"/>
      <c r="F69" s="11"/>
      <c r="G69" s="10"/>
      <c r="H69" s="11"/>
      <c r="I69" s="16"/>
      <c r="J69" s="16"/>
      <c r="K69" s="16"/>
    </row>
    <row r="70" ht="15.75" customHeight="1" spans="1:11">
      <c r="A70" s="131" t="s">
        <v>97</v>
      </c>
      <c r="B70" s="11"/>
      <c r="C70" s="135"/>
      <c r="D70" s="134">
        <f t="array" ref="D70">LEN(C70)-SUM((LEN(C70)-LEN(SUBSTITUTE(C70,修饰名称!$E$2:$E$93,修饰名称!$F$2:$F$93))))</f>
        <v>0</v>
      </c>
      <c r="E70" s="11"/>
      <c r="F70" s="11"/>
      <c r="G70" s="10"/>
      <c r="H70" s="11"/>
      <c r="I70" s="16"/>
      <c r="J70" s="16"/>
      <c r="K70" s="16"/>
    </row>
    <row r="71" ht="15.75" customHeight="1" spans="1:11">
      <c r="A71" s="131" t="s">
        <v>98</v>
      </c>
      <c r="B71" s="11"/>
      <c r="C71" s="135"/>
      <c r="D71" s="134">
        <f t="array" ref="D71">LEN(C71)-SUM((LEN(C71)-LEN(SUBSTITUTE(C71,修饰名称!$E$2:$E$93,修饰名称!$F$2:$F$93))))</f>
        <v>0</v>
      </c>
      <c r="E71" s="11"/>
      <c r="F71" s="11"/>
      <c r="G71" s="10"/>
      <c r="H71" s="11"/>
      <c r="I71" s="16"/>
      <c r="J71" s="16"/>
      <c r="K71" s="16"/>
    </row>
    <row r="72" ht="15.75" customHeight="1" spans="1:11">
      <c r="A72" s="131" t="s">
        <v>99</v>
      </c>
      <c r="B72" s="11"/>
      <c r="C72" s="135"/>
      <c r="D72" s="134">
        <f t="array" ref="D72">LEN(C72)-SUM((LEN(C72)-LEN(SUBSTITUTE(C72,修饰名称!$E$2:$E$93,修饰名称!$F$2:$F$93))))</f>
        <v>0</v>
      </c>
      <c r="E72" s="11"/>
      <c r="F72" s="11"/>
      <c r="G72" s="10"/>
      <c r="H72" s="11"/>
      <c r="I72" s="16"/>
      <c r="J72" s="16"/>
      <c r="K72" s="16"/>
    </row>
    <row r="73" ht="15.75" customHeight="1" spans="1:11">
      <c r="A73" s="131" t="s">
        <v>100</v>
      </c>
      <c r="B73" s="11"/>
      <c r="C73" s="135"/>
      <c r="D73" s="134">
        <f t="array" ref="D73">LEN(C73)-SUM((LEN(C73)-LEN(SUBSTITUTE(C73,修饰名称!$E$2:$E$93,修饰名称!$F$2:$F$93))))</f>
        <v>0</v>
      </c>
      <c r="E73" s="11"/>
      <c r="F73" s="11"/>
      <c r="G73" s="10"/>
      <c r="H73" s="11"/>
      <c r="I73" s="16"/>
      <c r="J73" s="16"/>
      <c r="K73" s="16"/>
    </row>
    <row r="74" ht="15.75" customHeight="1" spans="1:11">
      <c r="A74" s="131" t="s">
        <v>101</v>
      </c>
      <c r="B74" s="11"/>
      <c r="C74" s="135"/>
      <c r="D74" s="134">
        <f t="array" ref="D74">LEN(C74)-SUM((LEN(C74)-LEN(SUBSTITUTE(C74,修饰名称!$E$2:$E$93,修饰名称!$F$2:$F$93))))</f>
        <v>0</v>
      </c>
      <c r="E74" s="11"/>
      <c r="F74" s="11"/>
      <c r="G74" s="10"/>
      <c r="H74" s="11"/>
      <c r="I74" s="16"/>
      <c r="J74" s="16"/>
      <c r="K74" s="16"/>
    </row>
    <row r="75" ht="15.75" customHeight="1" spans="1:11">
      <c r="A75" s="131" t="s">
        <v>102</v>
      </c>
      <c r="B75" s="11"/>
      <c r="C75" s="135"/>
      <c r="D75" s="134">
        <f t="array" ref="D75">LEN(C75)-SUM((LEN(C75)-LEN(SUBSTITUTE(C75,修饰名称!$E$2:$E$93,修饰名称!$F$2:$F$93))))</f>
        <v>0</v>
      </c>
      <c r="E75" s="11"/>
      <c r="F75" s="11"/>
      <c r="G75" s="10"/>
      <c r="H75" s="11"/>
      <c r="I75" s="16"/>
      <c r="J75" s="16"/>
      <c r="K75" s="16"/>
    </row>
    <row r="76" ht="15.75" customHeight="1" spans="1:11">
      <c r="A76" s="131" t="s">
        <v>103</v>
      </c>
      <c r="B76" s="11"/>
      <c r="C76" s="135"/>
      <c r="D76" s="134">
        <f t="array" ref="D76">LEN(C76)-SUM((LEN(C76)-LEN(SUBSTITUTE(C76,修饰名称!$E$2:$E$93,修饰名称!$F$2:$F$93))))</f>
        <v>0</v>
      </c>
      <c r="E76" s="11"/>
      <c r="F76" s="11"/>
      <c r="G76" s="10"/>
      <c r="H76" s="11"/>
      <c r="I76" s="16"/>
      <c r="J76" s="16"/>
      <c r="K76" s="16"/>
    </row>
    <row r="77" ht="15.75" customHeight="1" spans="1:11">
      <c r="A77" s="131" t="s">
        <v>104</v>
      </c>
      <c r="B77" s="11"/>
      <c r="C77" s="135"/>
      <c r="D77" s="134">
        <f t="array" ref="D77">LEN(C77)-SUM((LEN(C77)-LEN(SUBSTITUTE(C77,修饰名称!$E$2:$E$93,修饰名称!$F$2:$F$93))))</f>
        <v>0</v>
      </c>
      <c r="E77" s="11"/>
      <c r="F77" s="11"/>
      <c r="G77" s="10"/>
      <c r="H77" s="11"/>
      <c r="I77" s="16"/>
      <c r="J77" s="16"/>
      <c r="K77" s="16"/>
    </row>
    <row r="78" ht="15.75" customHeight="1" spans="1:11">
      <c r="A78" s="131" t="s">
        <v>105</v>
      </c>
      <c r="B78" s="11"/>
      <c r="C78" s="135"/>
      <c r="D78" s="134">
        <f t="array" ref="D78">LEN(C78)-SUM((LEN(C78)-LEN(SUBSTITUTE(C78,修饰名称!$E$2:$E$93,修饰名称!$F$2:$F$93))))</f>
        <v>0</v>
      </c>
      <c r="E78" s="11"/>
      <c r="F78" s="11"/>
      <c r="G78" s="10"/>
      <c r="H78" s="11"/>
      <c r="I78" s="16"/>
      <c r="J78" s="16"/>
      <c r="K78" s="16"/>
    </row>
    <row r="79" ht="15.75" customHeight="1" spans="1:11">
      <c r="A79" s="131" t="s">
        <v>106</v>
      </c>
      <c r="B79" s="11"/>
      <c r="C79" s="135"/>
      <c r="D79" s="134">
        <f t="array" ref="D79">LEN(C79)-SUM((LEN(C79)-LEN(SUBSTITUTE(C79,修饰名称!$E$2:$E$93,修饰名称!$F$2:$F$93))))</f>
        <v>0</v>
      </c>
      <c r="E79" s="11"/>
      <c r="F79" s="11"/>
      <c r="G79" s="10"/>
      <c r="H79" s="11"/>
      <c r="I79" s="16"/>
      <c r="J79" s="16"/>
      <c r="K79" s="16"/>
    </row>
    <row r="80" ht="15.75" customHeight="1" spans="1:11">
      <c r="A80" s="131" t="s">
        <v>107</v>
      </c>
      <c r="B80" s="11"/>
      <c r="C80" s="135"/>
      <c r="D80" s="134">
        <f t="array" ref="D80">LEN(C80)-SUM((LEN(C80)-LEN(SUBSTITUTE(C80,修饰名称!$E$2:$E$93,修饰名称!$F$2:$F$93))))</f>
        <v>0</v>
      </c>
      <c r="E80" s="11"/>
      <c r="F80" s="11"/>
      <c r="G80" s="10"/>
      <c r="H80" s="11"/>
      <c r="I80" s="16"/>
      <c r="J80" s="16"/>
      <c r="K80" s="16"/>
    </row>
    <row r="81" ht="15.75" customHeight="1" spans="1:11">
      <c r="A81" s="131" t="s">
        <v>108</v>
      </c>
      <c r="B81" s="11"/>
      <c r="C81" s="135"/>
      <c r="D81" s="134">
        <f t="array" ref="D81">LEN(C81)-SUM((LEN(C81)-LEN(SUBSTITUTE(C81,修饰名称!$E$2:$E$93,修饰名称!$F$2:$F$93))))</f>
        <v>0</v>
      </c>
      <c r="E81" s="11"/>
      <c r="F81" s="11"/>
      <c r="G81" s="10"/>
      <c r="H81" s="11"/>
      <c r="I81" s="16"/>
      <c r="J81" s="16"/>
      <c r="K81" s="16"/>
    </row>
    <row r="82" ht="15.75" customHeight="1" spans="1:11">
      <c r="A82" s="131" t="s">
        <v>109</v>
      </c>
      <c r="B82" s="11"/>
      <c r="C82" s="135"/>
      <c r="D82" s="134">
        <f t="array" ref="D82">LEN(C82)-SUM((LEN(C82)-LEN(SUBSTITUTE(C82,修饰名称!$E$2:$E$93,修饰名称!$F$2:$F$93))))</f>
        <v>0</v>
      </c>
      <c r="E82" s="11"/>
      <c r="F82" s="11"/>
      <c r="G82" s="10"/>
      <c r="H82" s="11"/>
      <c r="I82" s="16"/>
      <c r="J82" s="16"/>
      <c r="K82" s="16"/>
    </row>
    <row r="83" ht="15.75" customHeight="1" spans="1:11">
      <c r="A83" s="131" t="s">
        <v>110</v>
      </c>
      <c r="B83" s="11"/>
      <c r="C83" s="135"/>
      <c r="D83" s="134">
        <f t="array" ref="D83">LEN(C83)-SUM((LEN(C83)-LEN(SUBSTITUTE(C83,修饰名称!$E$2:$E$93,修饰名称!$F$2:$F$93))))</f>
        <v>0</v>
      </c>
      <c r="E83" s="11"/>
      <c r="F83" s="11"/>
      <c r="G83" s="10"/>
      <c r="H83" s="11"/>
      <c r="I83" s="16"/>
      <c r="J83" s="16"/>
      <c r="K83" s="16"/>
    </row>
    <row r="84" ht="15.75" customHeight="1" spans="1:11">
      <c r="A84" s="131" t="s">
        <v>111</v>
      </c>
      <c r="B84" s="11"/>
      <c r="C84" s="135"/>
      <c r="D84" s="134">
        <f t="array" ref="D84">LEN(C84)-SUM((LEN(C84)-LEN(SUBSTITUTE(C84,修饰名称!$E$2:$E$93,修饰名称!$F$2:$F$93))))</f>
        <v>0</v>
      </c>
      <c r="E84" s="11"/>
      <c r="F84" s="11"/>
      <c r="G84" s="10"/>
      <c r="H84" s="11"/>
      <c r="I84" s="16"/>
      <c r="J84" s="16"/>
      <c r="K84" s="16"/>
    </row>
    <row r="85" ht="15.75" customHeight="1" spans="1:11">
      <c r="A85" s="131" t="s">
        <v>112</v>
      </c>
      <c r="B85" s="11"/>
      <c r="C85" s="135"/>
      <c r="D85" s="134">
        <f t="array" ref="D85">LEN(C85)-SUM((LEN(C85)-LEN(SUBSTITUTE(C85,修饰名称!$E$2:$E$93,修饰名称!$F$2:$F$93))))</f>
        <v>0</v>
      </c>
      <c r="E85" s="11"/>
      <c r="F85" s="11"/>
      <c r="G85" s="10"/>
      <c r="H85" s="11"/>
      <c r="I85" s="16"/>
      <c r="J85" s="16"/>
      <c r="K85" s="16"/>
    </row>
    <row r="86" ht="15.75" customHeight="1" spans="1:11">
      <c r="A86" s="131" t="s">
        <v>113</v>
      </c>
      <c r="B86" s="11"/>
      <c r="C86" s="135"/>
      <c r="D86" s="134">
        <f t="array" ref="D86">LEN(C86)-SUM((LEN(C86)-LEN(SUBSTITUTE(C86,修饰名称!$E$2:$E$93,修饰名称!$F$2:$F$93))))</f>
        <v>0</v>
      </c>
      <c r="E86" s="11"/>
      <c r="F86" s="11"/>
      <c r="G86" s="10"/>
      <c r="H86" s="11"/>
      <c r="I86" s="16"/>
      <c r="J86" s="16"/>
      <c r="K86" s="16"/>
    </row>
    <row r="87" ht="15.75" customHeight="1" spans="1:11">
      <c r="A87" s="131" t="s">
        <v>114</v>
      </c>
      <c r="B87" s="11"/>
      <c r="C87" s="135"/>
      <c r="D87" s="134">
        <f t="array" ref="D87">LEN(C87)-SUM((LEN(C87)-LEN(SUBSTITUTE(C87,修饰名称!$E$2:$E$93,修饰名称!$F$2:$F$93))))</f>
        <v>0</v>
      </c>
      <c r="E87" s="11"/>
      <c r="F87" s="11"/>
      <c r="G87" s="10"/>
      <c r="H87" s="11"/>
      <c r="I87" s="16"/>
      <c r="J87" s="16"/>
      <c r="K87" s="16"/>
    </row>
    <row r="88" ht="15.75" customHeight="1" spans="1:11">
      <c r="A88" s="131" t="s">
        <v>115</v>
      </c>
      <c r="B88" s="11"/>
      <c r="C88" s="135"/>
      <c r="D88" s="134">
        <f t="array" ref="D88">LEN(C88)-SUM((LEN(C88)-LEN(SUBSTITUTE(C88,修饰名称!$E$2:$E$93,修饰名称!$F$2:$F$93))))</f>
        <v>0</v>
      </c>
      <c r="E88" s="11"/>
      <c r="F88" s="11"/>
      <c r="G88" s="10"/>
      <c r="H88" s="11"/>
      <c r="I88" s="16"/>
      <c r="J88" s="16"/>
      <c r="K88" s="16"/>
    </row>
    <row r="89" ht="15.75" customHeight="1" spans="1:11">
      <c r="A89" s="131" t="s">
        <v>116</v>
      </c>
      <c r="B89" s="11"/>
      <c r="C89" s="135"/>
      <c r="D89" s="134">
        <f t="array" ref="D89">LEN(C89)-SUM((LEN(C89)-LEN(SUBSTITUTE(C89,修饰名称!$E$2:$E$93,修饰名称!$F$2:$F$93))))</f>
        <v>0</v>
      </c>
      <c r="E89" s="11"/>
      <c r="F89" s="11"/>
      <c r="G89" s="10"/>
      <c r="H89" s="11"/>
      <c r="I89" s="16"/>
      <c r="J89" s="16"/>
      <c r="K89" s="16"/>
    </row>
    <row r="90" ht="15.75" customHeight="1" spans="1:11">
      <c r="A90" s="131" t="s">
        <v>117</v>
      </c>
      <c r="B90" s="11"/>
      <c r="C90" s="135"/>
      <c r="D90" s="134">
        <f t="array" ref="D90">LEN(C90)-SUM((LEN(C90)-LEN(SUBSTITUTE(C90,修饰名称!$E$2:$E$93,修饰名称!$F$2:$F$93))))</f>
        <v>0</v>
      </c>
      <c r="E90" s="11"/>
      <c r="F90" s="11"/>
      <c r="G90" s="10"/>
      <c r="H90" s="11"/>
      <c r="I90" s="16"/>
      <c r="J90" s="16"/>
      <c r="K90" s="16"/>
    </row>
    <row r="91" ht="15.75" customHeight="1" spans="1:11">
      <c r="A91" s="131" t="s">
        <v>118</v>
      </c>
      <c r="B91" s="11"/>
      <c r="C91" s="135"/>
      <c r="D91" s="134">
        <f t="array" ref="D91">LEN(C91)-SUM((LEN(C91)-LEN(SUBSTITUTE(C91,修饰名称!$E$2:$E$93,修饰名称!$F$2:$F$93))))</f>
        <v>0</v>
      </c>
      <c r="E91" s="11"/>
      <c r="F91" s="11"/>
      <c r="G91" s="10"/>
      <c r="H91" s="11"/>
      <c r="I91" s="16"/>
      <c r="J91" s="16"/>
      <c r="K91" s="16"/>
    </row>
    <row r="92" ht="15.75" customHeight="1" spans="1:11">
      <c r="A92" s="131" t="s">
        <v>119</v>
      </c>
      <c r="B92" s="11"/>
      <c r="C92" s="135"/>
      <c r="D92" s="134">
        <f t="array" ref="D92">LEN(C92)-SUM((LEN(C92)-LEN(SUBSTITUTE(C92,修饰名称!$E$2:$E$93,修饰名称!$F$2:$F$93))))</f>
        <v>0</v>
      </c>
      <c r="E92" s="11"/>
      <c r="F92" s="11"/>
      <c r="G92" s="10"/>
      <c r="H92" s="11"/>
      <c r="I92" s="16"/>
      <c r="J92" s="16"/>
      <c r="K92" s="16"/>
    </row>
    <row r="93" ht="15.75" customHeight="1" spans="1:11">
      <c r="A93" s="131" t="s">
        <v>120</v>
      </c>
      <c r="B93" s="11"/>
      <c r="C93" s="135"/>
      <c r="D93" s="134">
        <f t="array" ref="D93">LEN(C93)-SUM((LEN(C93)-LEN(SUBSTITUTE(C93,修饰名称!$E$2:$E$93,修饰名称!$F$2:$F$93))))</f>
        <v>0</v>
      </c>
      <c r="E93" s="11"/>
      <c r="F93" s="11"/>
      <c r="G93" s="10"/>
      <c r="H93" s="11"/>
      <c r="I93" s="16"/>
      <c r="J93" s="16"/>
      <c r="K93" s="16"/>
    </row>
    <row r="94" ht="15.75" customHeight="1" spans="1:11">
      <c r="A94" s="131" t="s">
        <v>121</v>
      </c>
      <c r="B94" s="11"/>
      <c r="C94" s="135"/>
      <c r="D94" s="134">
        <f t="array" ref="D94">LEN(C94)-SUM((LEN(C94)-LEN(SUBSTITUTE(C94,修饰名称!$E$2:$E$93,修饰名称!$F$2:$F$93))))</f>
        <v>0</v>
      </c>
      <c r="E94" s="11"/>
      <c r="F94" s="11"/>
      <c r="G94" s="10"/>
      <c r="H94" s="11"/>
      <c r="I94" s="16"/>
      <c r="J94" s="16"/>
      <c r="K94" s="16"/>
    </row>
    <row r="95" ht="15.75" customHeight="1" spans="1:11">
      <c r="A95" s="131" t="s">
        <v>122</v>
      </c>
      <c r="B95" s="11"/>
      <c r="C95" s="135"/>
      <c r="D95" s="134">
        <f t="array" ref="D95">LEN(C95)-SUM((LEN(C95)-LEN(SUBSTITUTE(C95,修饰名称!$E$2:$E$93,修饰名称!$F$2:$F$93))))</f>
        <v>0</v>
      </c>
      <c r="E95" s="11"/>
      <c r="F95" s="11"/>
      <c r="G95" s="10"/>
      <c r="H95" s="11"/>
      <c r="I95" s="16"/>
      <c r="J95" s="16"/>
      <c r="K95" s="16"/>
    </row>
    <row r="96" ht="15.75" customHeight="1" spans="1:11">
      <c r="A96" s="131" t="s">
        <v>123</v>
      </c>
      <c r="B96" s="11"/>
      <c r="C96" s="135"/>
      <c r="D96" s="134">
        <f t="array" ref="D96">LEN(C96)-SUM((LEN(C96)-LEN(SUBSTITUTE(C96,修饰名称!$E$2:$E$93,修饰名称!$F$2:$F$93))))</f>
        <v>0</v>
      </c>
      <c r="E96" s="11"/>
      <c r="F96" s="11"/>
      <c r="G96" s="10"/>
      <c r="H96" s="11"/>
      <c r="I96" s="16"/>
      <c r="J96" s="16"/>
      <c r="K96" s="16"/>
    </row>
    <row r="97" ht="15.75" customHeight="1" spans="1:11">
      <c r="A97" s="131" t="s">
        <v>124</v>
      </c>
      <c r="B97" s="11"/>
      <c r="C97" s="135"/>
      <c r="D97" s="134">
        <f t="array" ref="D97">LEN(C97)-SUM((LEN(C97)-LEN(SUBSTITUTE(C97,修饰名称!$E$2:$E$93,修饰名称!$F$2:$F$93))))</f>
        <v>0</v>
      </c>
      <c r="E97" s="11"/>
      <c r="F97" s="11"/>
      <c r="G97" s="10"/>
      <c r="H97" s="11"/>
      <c r="I97" s="16"/>
      <c r="J97" s="16"/>
      <c r="K97" s="16"/>
    </row>
    <row r="98" ht="15.75" customHeight="1" spans="1:11">
      <c r="A98" s="131" t="s">
        <v>125</v>
      </c>
      <c r="B98" s="11"/>
      <c r="C98" s="135"/>
      <c r="D98" s="134">
        <f t="array" ref="D98">LEN(C98)-SUM((LEN(C98)-LEN(SUBSTITUTE(C98,修饰名称!$E$2:$E$93,修饰名称!$F$2:$F$93))))</f>
        <v>0</v>
      </c>
      <c r="E98" s="11"/>
      <c r="F98" s="11"/>
      <c r="G98" s="10"/>
      <c r="H98" s="11"/>
      <c r="I98" s="16"/>
      <c r="J98" s="16"/>
      <c r="K98" s="16"/>
    </row>
    <row r="99" ht="15.75" customHeight="1" spans="1:11">
      <c r="A99" s="131" t="s">
        <v>126</v>
      </c>
      <c r="B99" s="11"/>
      <c r="C99" s="135"/>
      <c r="D99" s="134">
        <f t="array" ref="D99">LEN(C99)-SUM((LEN(C99)-LEN(SUBSTITUTE(C99,修饰名称!$E$2:$E$93,修饰名称!$F$2:$F$93))))</f>
        <v>0</v>
      </c>
      <c r="E99" s="11"/>
      <c r="F99" s="11"/>
      <c r="G99" s="10"/>
      <c r="H99" s="11"/>
      <c r="I99" s="16"/>
      <c r="J99" s="16"/>
      <c r="K99" s="16"/>
    </row>
    <row r="100" ht="15.75" customHeight="1" spans="1:11">
      <c r="A100" s="131" t="s">
        <v>127</v>
      </c>
      <c r="B100" s="11"/>
      <c r="C100" s="135"/>
      <c r="D100" s="134">
        <f t="array" ref="D100">LEN(C100)-SUM((LEN(C100)-LEN(SUBSTITUTE(C100,修饰名称!$E$2:$E$93,修饰名称!$F$2:$F$93))))</f>
        <v>0</v>
      </c>
      <c r="E100" s="11"/>
      <c r="F100" s="11"/>
      <c r="G100" s="10"/>
      <c r="H100" s="11"/>
      <c r="I100" s="16"/>
      <c r="J100" s="16"/>
      <c r="K100" s="16"/>
    </row>
    <row r="101" ht="15.75" customHeight="1" spans="1:11">
      <c r="A101" s="131" t="s">
        <v>128</v>
      </c>
      <c r="B101" s="11"/>
      <c r="C101" s="135"/>
      <c r="D101" s="134">
        <f t="array" ref="D101">LEN(C101)-SUM((LEN(C101)-LEN(SUBSTITUTE(C101,修饰名称!$E$2:$E$93,修饰名称!$F$2:$F$93))))</f>
        <v>0</v>
      </c>
      <c r="E101" s="11"/>
      <c r="F101" s="11"/>
      <c r="G101" s="10"/>
      <c r="H101" s="11"/>
      <c r="I101" s="16"/>
      <c r="J101" s="16"/>
      <c r="K101" s="16"/>
    </row>
    <row r="102" ht="15.75" customHeight="1" spans="1:11">
      <c r="A102" s="131" t="s">
        <v>129</v>
      </c>
      <c r="B102" s="11"/>
      <c r="C102" s="135"/>
      <c r="D102" s="134">
        <f t="array" ref="D102">LEN(C102)-SUM((LEN(C102)-LEN(SUBSTITUTE(C102,修饰名称!$E$2:$E$93,修饰名称!$F$2:$F$93))))</f>
        <v>0</v>
      </c>
      <c r="E102" s="11"/>
      <c r="F102" s="11"/>
      <c r="G102" s="10"/>
      <c r="H102" s="11"/>
      <c r="I102" s="16"/>
      <c r="J102" s="16"/>
      <c r="K102" s="16"/>
    </row>
    <row r="103" ht="15.75" customHeight="1" spans="1:11">
      <c r="A103" s="131" t="s">
        <v>130</v>
      </c>
      <c r="B103" s="11"/>
      <c r="C103" s="135"/>
      <c r="D103" s="134">
        <f t="array" ref="D103">LEN(C103)-SUM((LEN(C103)-LEN(SUBSTITUTE(C103,修饰名称!$E$2:$E$93,修饰名称!$F$2:$F$93))))</f>
        <v>0</v>
      </c>
      <c r="E103" s="11"/>
      <c r="F103" s="11"/>
      <c r="G103" s="10"/>
      <c r="H103" s="11"/>
      <c r="I103" s="16"/>
      <c r="J103" s="16"/>
      <c r="K103" s="16"/>
    </row>
    <row r="104" ht="15.75" customHeight="1" spans="1:11">
      <c r="A104" s="131" t="s">
        <v>131</v>
      </c>
      <c r="B104" s="11"/>
      <c r="C104" s="135"/>
      <c r="D104" s="134">
        <f t="array" ref="D104">LEN(C104)-SUM((LEN(C104)-LEN(SUBSTITUTE(C104,修饰名称!$E$2:$E$93,修饰名称!$F$2:$F$93))))</f>
        <v>0</v>
      </c>
      <c r="E104" s="11"/>
      <c r="F104" s="11"/>
      <c r="G104" s="10"/>
      <c r="H104" s="11"/>
      <c r="I104" s="16"/>
      <c r="J104" s="16"/>
      <c r="K104" s="16"/>
    </row>
    <row r="105" ht="15.75" customHeight="1" spans="1:11">
      <c r="A105" s="131" t="s">
        <v>132</v>
      </c>
      <c r="B105" s="11"/>
      <c r="C105" s="135"/>
      <c r="D105" s="134">
        <f t="array" ref="D105">LEN(C105)-SUM((LEN(C105)-LEN(SUBSTITUTE(C105,修饰名称!$E$2:$E$93,修饰名称!$F$2:$F$93))))</f>
        <v>0</v>
      </c>
      <c r="E105" s="11"/>
      <c r="F105" s="11"/>
      <c r="G105" s="10"/>
      <c r="H105" s="11"/>
      <c r="I105" s="16"/>
      <c r="J105" s="16"/>
      <c r="K105" s="16"/>
    </row>
    <row r="106" ht="15.75" customHeight="1" spans="1:11">
      <c r="A106" s="131" t="s">
        <v>133</v>
      </c>
      <c r="B106" s="11"/>
      <c r="C106" s="135"/>
      <c r="D106" s="134">
        <f t="array" ref="D106">LEN(C106)-SUM((LEN(C106)-LEN(SUBSTITUTE(C106,修饰名称!$E$2:$E$93,修饰名称!$F$2:$F$93))))</f>
        <v>0</v>
      </c>
      <c r="E106" s="11"/>
      <c r="F106" s="11"/>
      <c r="G106" s="10"/>
      <c r="H106" s="11"/>
      <c r="I106" s="16"/>
      <c r="J106" s="16"/>
      <c r="K106" s="16"/>
    </row>
    <row r="107" ht="15.75" customHeight="1" spans="1:11">
      <c r="A107" s="131" t="s">
        <v>134</v>
      </c>
      <c r="B107" s="11"/>
      <c r="C107" s="135"/>
      <c r="D107" s="134">
        <f t="array" ref="D107">LEN(C107)-SUM((LEN(C107)-LEN(SUBSTITUTE(C107,修饰名称!$E$2:$E$93,修饰名称!$F$2:$F$93))))</f>
        <v>0</v>
      </c>
      <c r="E107" s="11"/>
      <c r="F107" s="11"/>
      <c r="G107" s="10"/>
      <c r="H107" s="11"/>
      <c r="I107" s="16"/>
      <c r="J107" s="16"/>
      <c r="K107" s="16"/>
    </row>
    <row r="108" ht="15.75" customHeight="1" spans="1:11">
      <c r="A108" s="131" t="s">
        <v>135</v>
      </c>
      <c r="B108" s="11"/>
      <c r="C108" s="135"/>
      <c r="D108" s="134">
        <f t="array" ref="D108">LEN(C108)-SUM((LEN(C108)-LEN(SUBSTITUTE(C108,修饰名称!$E$2:$E$93,修饰名称!$F$2:$F$93))))</f>
        <v>0</v>
      </c>
      <c r="E108" s="11"/>
      <c r="F108" s="11"/>
      <c r="G108" s="10"/>
      <c r="H108" s="11"/>
      <c r="I108" s="16"/>
      <c r="J108" s="16"/>
      <c r="K108" s="16"/>
    </row>
    <row r="109" ht="15.75" customHeight="1" spans="1:11">
      <c r="A109" s="131" t="s">
        <v>136</v>
      </c>
      <c r="B109" s="11"/>
      <c r="C109" s="135"/>
      <c r="D109" s="134">
        <f t="array" ref="D109">LEN(C109)-SUM((LEN(C109)-LEN(SUBSTITUTE(C109,修饰名称!$E$2:$E$93,修饰名称!$F$2:$F$93))))</f>
        <v>0</v>
      </c>
      <c r="E109" s="11"/>
      <c r="F109" s="11"/>
      <c r="G109" s="10"/>
      <c r="H109" s="11"/>
      <c r="I109" s="16"/>
      <c r="J109" s="16"/>
      <c r="K109" s="16"/>
    </row>
    <row r="110" ht="15.75" customHeight="1" spans="1:11">
      <c r="A110" s="131" t="s">
        <v>137</v>
      </c>
      <c r="B110" s="11"/>
      <c r="C110" s="135"/>
      <c r="D110" s="134">
        <f t="array" ref="D110">LEN(C110)-SUM((LEN(C110)-LEN(SUBSTITUTE(C110,修饰名称!$E$2:$E$93,修饰名称!$F$2:$F$93))))</f>
        <v>0</v>
      </c>
      <c r="E110" s="11"/>
      <c r="F110" s="11"/>
      <c r="G110" s="10"/>
      <c r="H110" s="11"/>
      <c r="I110" s="16"/>
      <c r="J110" s="16"/>
      <c r="K110" s="16"/>
    </row>
    <row r="111" ht="15.75" customHeight="1" spans="1:11">
      <c r="A111" s="131" t="s">
        <v>138</v>
      </c>
      <c r="B111" s="11"/>
      <c r="C111" s="135"/>
      <c r="D111" s="134">
        <f t="array" ref="D111">LEN(C111)-SUM((LEN(C111)-LEN(SUBSTITUTE(C111,修饰名称!$E$2:$E$93,修饰名称!$F$2:$F$93))))</f>
        <v>0</v>
      </c>
      <c r="E111" s="11"/>
      <c r="F111" s="11"/>
      <c r="G111" s="10"/>
      <c r="H111" s="11"/>
      <c r="I111" s="16"/>
      <c r="J111" s="16"/>
      <c r="K111" s="16"/>
    </row>
    <row r="112" ht="15.75" customHeight="1" spans="1:11">
      <c r="A112" s="131" t="s">
        <v>139</v>
      </c>
      <c r="B112" s="11"/>
      <c r="C112" s="135"/>
      <c r="D112" s="134">
        <f t="array" ref="D112">LEN(C112)-SUM((LEN(C112)-LEN(SUBSTITUTE(C112,修饰名称!$E$2:$E$93,修饰名称!$F$2:$F$93))))</f>
        <v>0</v>
      </c>
      <c r="E112" s="11"/>
      <c r="F112" s="11"/>
      <c r="G112" s="10"/>
      <c r="H112" s="11"/>
      <c r="I112" s="16"/>
      <c r="J112" s="16"/>
      <c r="K112" s="16"/>
    </row>
    <row r="113" ht="15.75" customHeight="1" spans="1:11">
      <c r="A113" s="131" t="s">
        <v>140</v>
      </c>
      <c r="B113" s="11"/>
      <c r="C113" s="135"/>
      <c r="D113" s="134">
        <f t="array" ref="D113">LEN(C113)-SUM((LEN(C113)-LEN(SUBSTITUTE(C113,修饰名称!$E$2:$E$93,修饰名称!$F$2:$F$93))))</f>
        <v>0</v>
      </c>
      <c r="E113" s="11"/>
      <c r="F113" s="11"/>
      <c r="G113" s="10"/>
      <c r="H113" s="11"/>
      <c r="I113" s="16"/>
      <c r="J113" s="16"/>
      <c r="K113" s="16"/>
    </row>
    <row r="114" ht="15.75" customHeight="1" spans="1:11">
      <c r="A114" s="131" t="s">
        <v>141</v>
      </c>
      <c r="B114" s="11"/>
      <c r="C114" s="135"/>
      <c r="D114" s="134">
        <f t="array" ref="D114">LEN(C114)-SUM((LEN(C114)-LEN(SUBSTITUTE(C114,修饰名称!$E$2:$E$93,修饰名称!$F$2:$F$93))))</f>
        <v>0</v>
      </c>
      <c r="E114" s="11"/>
      <c r="F114" s="11"/>
      <c r="G114" s="10"/>
      <c r="H114" s="11"/>
      <c r="I114" s="16"/>
      <c r="J114" s="16"/>
      <c r="K114" s="16"/>
    </row>
    <row r="115" ht="15.75" customHeight="1" spans="1:11">
      <c r="A115" s="131" t="s">
        <v>142</v>
      </c>
      <c r="B115" s="11"/>
      <c r="C115" s="135"/>
      <c r="D115" s="134">
        <f t="array" ref="D115">LEN(C115)-SUM((LEN(C115)-LEN(SUBSTITUTE(C115,修饰名称!$E$2:$E$93,修饰名称!$F$2:$F$93))))</f>
        <v>0</v>
      </c>
      <c r="E115" s="11"/>
      <c r="F115" s="11"/>
      <c r="G115" s="10"/>
      <c r="H115" s="11"/>
      <c r="I115" s="16"/>
      <c r="J115" s="16"/>
      <c r="K115" s="16"/>
    </row>
    <row r="116" ht="15.75" customHeight="1" spans="1:11">
      <c r="A116" s="131" t="s">
        <v>143</v>
      </c>
      <c r="B116" s="11"/>
      <c r="C116" s="135"/>
      <c r="D116" s="134">
        <f t="array" ref="D116">LEN(C116)-SUM((LEN(C116)-LEN(SUBSTITUTE(C116,修饰名称!$E$2:$E$93,修饰名称!$F$2:$F$93))))</f>
        <v>0</v>
      </c>
      <c r="E116" s="11"/>
      <c r="F116" s="11"/>
      <c r="G116" s="10"/>
      <c r="H116" s="11"/>
      <c r="I116" s="16"/>
      <c r="J116" s="16"/>
      <c r="K116" s="16"/>
    </row>
    <row r="117" ht="15.75" customHeight="1" spans="1:11">
      <c r="A117" s="131" t="s">
        <v>144</v>
      </c>
      <c r="B117" s="11"/>
      <c r="C117" s="135"/>
      <c r="D117" s="134">
        <f t="array" ref="D117">LEN(C117)-SUM((LEN(C117)-LEN(SUBSTITUTE(C117,修饰名称!$E$2:$E$93,修饰名称!$F$2:$F$93))))</f>
        <v>0</v>
      </c>
      <c r="E117" s="11"/>
      <c r="F117" s="11"/>
      <c r="G117" s="10"/>
      <c r="H117" s="11"/>
      <c r="I117" s="16"/>
      <c r="J117" s="16"/>
      <c r="K117" s="16"/>
    </row>
    <row r="118" ht="15.75" customHeight="1" spans="1:11">
      <c r="A118" s="131" t="s">
        <v>145</v>
      </c>
      <c r="B118" s="11"/>
      <c r="C118" s="135"/>
      <c r="D118" s="134">
        <f t="array" ref="D118">LEN(C118)-SUM((LEN(C118)-LEN(SUBSTITUTE(C118,修饰名称!$E$2:$E$93,修饰名称!$F$2:$F$93))))</f>
        <v>0</v>
      </c>
      <c r="E118" s="11"/>
      <c r="F118" s="11"/>
      <c r="G118" s="10"/>
      <c r="H118" s="11"/>
      <c r="I118" s="16"/>
      <c r="J118" s="16"/>
      <c r="K118" s="16"/>
    </row>
    <row r="119" ht="15.75" customHeight="1" spans="1:11">
      <c r="A119" s="131" t="s">
        <v>146</v>
      </c>
      <c r="B119" s="11"/>
      <c r="C119" s="135"/>
      <c r="D119" s="134">
        <f t="array" ref="D119">LEN(C119)-SUM((LEN(C119)-LEN(SUBSTITUTE(C119,修饰名称!$E$2:$E$93,修饰名称!$F$2:$F$93))))</f>
        <v>0</v>
      </c>
      <c r="E119" s="11"/>
      <c r="F119" s="11"/>
      <c r="G119" s="10"/>
      <c r="H119" s="11"/>
      <c r="I119" s="16"/>
      <c r="J119" s="16"/>
      <c r="K119" s="16"/>
    </row>
    <row r="120" ht="15.75" customHeight="1" spans="1:11">
      <c r="A120" s="131" t="s">
        <v>147</v>
      </c>
      <c r="B120" s="11"/>
      <c r="C120" s="135"/>
      <c r="D120" s="134">
        <f t="array" ref="D120">LEN(C120)-SUM((LEN(C120)-LEN(SUBSTITUTE(C120,修饰名称!$E$2:$E$93,修饰名称!$F$2:$F$93))))</f>
        <v>0</v>
      </c>
      <c r="E120" s="11"/>
      <c r="F120" s="11"/>
      <c r="G120" s="10"/>
      <c r="H120" s="11"/>
      <c r="I120" s="16"/>
      <c r="J120" s="16"/>
      <c r="K120" s="16"/>
    </row>
    <row r="121" ht="15.75" customHeight="1" spans="1:11">
      <c r="A121" s="131" t="s">
        <v>148</v>
      </c>
      <c r="B121" s="11"/>
      <c r="C121" s="135"/>
      <c r="D121" s="134">
        <f t="array" ref="D121">LEN(C121)-SUM((LEN(C121)-LEN(SUBSTITUTE(C121,修饰名称!$E$2:$E$93,修饰名称!$F$2:$F$93))))</f>
        <v>0</v>
      </c>
      <c r="E121" s="11"/>
      <c r="F121" s="11"/>
      <c r="G121" s="10"/>
      <c r="H121" s="11"/>
      <c r="I121" s="16"/>
      <c r="J121" s="16"/>
      <c r="K121" s="16"/>
    </row>
    <row r="122" ht="15.75" customHeight="1" spans="1:11">
      <c r="A122" s="131" t="s">
        <v>149</v>
      </c>
      <c r="B122" s="11"/>
      <c r="C122" s="135"/>
      <c r="D122" s="134">
        <f t="array" ref="D122">LEN(C122)-SUM((LEN(C122)-LEN(SUBSTITUTE(C122,修饰名称!$E$2:$E$93,修饰名称!$F$2:$F$93))))</f>
        <v>0</v>
      </c>
      <c r="E122" s="11"/>
      <c r="F122" s="11"/>
      <c r="G122" s="10"/>
      <c r="H122" s="11"/>
      <c r="I122" s="16"/>
      <c r="J122" s="16"/>
      <c r="K122" s="16"/>
    </row>
    <row r="123" ht="15.75" customHeight="1" spans="1:11">
      <c r="A123" s="131" t="s">
        <v>150</v>
      </c>
      <c r="B123" s="11"/>
      <c r="C123" s="135"/>
      <c r="D123" s="134">
        <f t="array" ref="D123">LEN(C123)-SUM((LEN(C123)-LEN(SUBSTITUTE(C123,修饰名称!$E$2:$E$93,修饰名称!$F$2:$F$93))))</f>
        <v>0</v>
      </c>
      <c r="E123" s="11"/>
      <c r="F123" s="11"/>
      <c r="G123" s="10"/>
      <c r="H123" s="11"/>
      <c r="I123" s="16"/>
      <c r="J123" s="16"/>
      <c r="K123" s="16"/>
    </row>
    <row r="124" ht="15.75" customHeight="1" spans="1:11">
      <c r="A124" s="131" t="s">
        <v>151</v>
      </c>
      <c r="B124" s="11"/>
      <c r="C124" s="135"/>
      <c r="D124" s="134">
        <f t="array" ref="D124">LEN(C124)-SUM((LEN(C124)-LEN(SUBSTITUTE(C124,修饰名称!$E$2:$E$93,修饰名称!$F$2:$F$93))))</f>
        <v>0</v>
      </c>
      <c r="E124" s="11"/>
      <c r="F124" s="11"/>
      <c r="G124" s="10"/>
      <c r="H124" s="11"/>
      <c r="I124" s="16"/>
      <c r="J124" s="16"/>
      <c r="K124" s="16"/>
    </row>
    <row r="125" ht="15.75" customHeight="1" spans="1:11">
      <c r="A125" s="131" t="s">
        <v>152</v>
      </c>
      <c r="B125" s="11"/>
      <c r="C125" s="135"/>
      <c r="D125" s="134">
        <f t="array" ref="D125">LEN(C125)-SUM((LEN(C125)-LEN(SUBSTITUTE(C125,修饰名称!$E$2:$E$93,修饰名称!$F$2:$F$93))))</f>
        <v>0</v>
      </c>
      <c r="E125" s="11"/>
      <c r="F125" s="11"/>
      <c r="G125" s="10"/>
      <c r="H125" s="11"/>
      <c r="I125" s="16"/>
      <c r="J125" s="16"/>
      <c r="K125" s="16"/>
    </row>
    <row r="126" ht="15.75" customHeight="1" spans="1:11">
      <c r="A126" s="131" t="s">
        <v>153</v>
      </c>
      <c r="B126" s="11"/>
      <c r="C126" s="135"/>
      <c r="D126" s="134">
        <f t="array" ref="D126">LEN(C126)-SUM((LEN(C126)-LEN(SUBSTITUTE(C126,修饰名称!$E$2:$E$93,修饰名称!$F$2:$F$93))))</f>
        <v>0</v>
      </c>
      <c r="E126" s="11"/>
      <c r="F126" s="11"/>
      <c r="G126" s="10"/>
      <c r="H126" s="11"/>
      <c r="I126" s="16"/>
      <c r="J126" s="16"/>
      <c r="K126" s="16"/>
    </row>
    <row r="127" ht="15.75" customHeight="1" spans="1:11">
      <c r="A127" s="131" t="s">
        <v>154</v>
      </c>
      <c r="B127" s="11"/>
      <c r="C127" s="135"/>
      <c r="D127" s="134">
        <f t="array" ref="D127">LEN(C127)-SUM((LEN(C127)-LEN(SUBSTITUTE(C127,修饰名称!$E$2:$E$93,修饰名称!$F$2:$F$93))))</f>
        <v>0</v>
      </c>
      <c r="E127" s="11"/>
      <c r="F127" s="11"/>
      <c r="G127" s="10"/>
      <c r="H127" s="11"/>
      <c r="I127" s="16"/>
      <c r="J127" s="16"/>
      <c r="K127" s="16"/>
    </row>
    <row r="128" ht="15.75" customHeight="1" spans="1:11">
      <c r="A128" s="131" t="s">
        <v>155</v>
      </c>
      <c r="B128" s="11"/>
      <c r="C128" s="135"/>
      <c r="D128" s="134">
        <f t="array" ref="D128">LEN(C128)-SUM((LEN(C128)-LEN(SUBSTITUTE(C128,修饰名称!$E$2:$E$93,修饰名称!$F$2:$F$93))))</f>
        <v>0</v>
      </c>
      <c r="E128" s="11"/>
      <c r="F128" s="11"/>
      <c r="G128" s="10"/>
      <c r="H128" s="11"/>
      <c r="I128" s="16"/>
      <c r="J128" s="16"/>
      <c r="K128" s="16"/>
    </row>
    <row r="129" ht="15.75" customHeight="1" spans="1:11">
      <c r="A129" s="131" t="s">
        <v>156</v>
      </c>
      <c r="B129" s="11"/>
      <c r="C129" s="135"/>
      <c r="D129" s="134">
        <f t="array" ref="D129">LEN(C129)-SUM((LEN(C129)-LEN(SUBSTITUTE(C129,修饰名称!$E$2:$E$93,修饰名称!$F$2:$F$93))))</f>
        <v>0</v>
      </c>
      <c r="E129" s="11"/>
      <c r="F129" s="11"/>
      <c r="G129" s="10"/>
      <c r="H129" s="11"/>
      <c r="I129" s="16"/>
      <c r="J129" s="16"/>
      <c r="K129" s="16"/>
    </row>
    <row r="130" ht="15.75" customHeight="1" spans="1:11">
      <c r="A130" s="131" t="s">
        <v>157</v>
      </c>
      <c r="B130" s="11"/>
      <c r="C130" s="135"/>
      <c r="D130" s="134">
        <f t="array" ref="D130">LEN(C130)-SUM((LEN(C130)-LEN(SUBSTITUTE(C130,修饰名称!$E$2:$E$93,修饰名称!$F$2:$F$93))))</f>
        <v>0</v>
      </c>
      <c r="E130" s="11"/>
      <c r="F130" s="11"/>
      <c r="G130" s="10"/>
      <c r="H130" s="11"/>
      <c r="I130" s="16"/>
      <c r="J130" s="16"/>
      <c r="K130" s="16"/>
    </row>
    <row r="131" ht="15.75" customHeight="1" spans="1:11">
      <c r="A131" s="131" t="s">
        <v>158</v>
      </c>
      <c r="B131" s="11"/>
      <c r="C131" s="135"/>
      <c r="D131" s="134">
        <f t="array" ref="D131">LEN(C131)-SUM((LEN(C131)-LEN(SUBSTITUTE(C131,修饰名称!$E$2:$E$93,修饰名称!$F$2:$F$93))))</f>
        <v>0</v>
      </c>
      <c r="E131" s="11"/>
      <c r="F131" s="11"/>
      <c r="G131" s="10"/>
      <c r="H131" s="11"/>
      <c r="I131" s="16"/>
      <c r="J131" s="16"/>
      <c r="K131" s="16"/>
    </row>
    <row r="132" ht="15.75" customHeight="1" spans="1:11">
      <c r="A132" s="131" t="s">
        <v>159</v>
      </c>
      <c r="B132" s="11"/>
      <c r="C132" s="135"/>
      <c r="D132" s="134">
        <f t="array" ref="D132">LEN(C132)-SUM((LEN(C132)-LEN(SUBSTITUTE(C132,修饰名称!$E$2:$E$93,修饰名称!$F$2:$F$93))))</f>
        <v>0</v>
      </c>
      <c r="E132" s="11"/>
      <c r="F132" s="11"/>
      <c r="G132" s="10"/>
      <c r="H132" s="11"/>
      <c r="I132" s="16"/>
      <c r="J132" s="16"/>
      <c r="K132" s="16"/>
    </row>
    <row r="133" ht="15.75" customHeight="1" spans="1:11">
      <c r="A133" s="131" t="s">
        <v>160</v>
      </c>
      <c r="B133" s="11"/>
      <c r="C133" s="135"/>
      <c r="D133" s="134">
        <f t="array" ref="D133">LEN(C133)-SUM((LEN(C133)-LEN(SUBSTITUTE(C133,修饰名称!$E$2:$E$93,修饰名称!$F$2:$F$93))))</f>
        <v>0</v>
      </c>
      <c r="E133" s="11"/>
      <c r="F133" s="11"/>
      <c r="G133" s="10"/>
      <c r="H133" s="11"/>
      <c r="I133" s="16"/>
      <c r="J133" s="16"/>
      <c r="K133" s="16"/>
    </row>
    <row r="134" ht="15.75" customHeight="1" spans="1:11">
      <c r="A134" s="131" t="s">
        <v>161</v>
      </c>
      <c r="B134" s="11"/>
      <c r="C134" s="135"/>
      <c r="D134" s="134">
        <f t="array" ref="D134">LEN(C134)-SUM((LEN(C134)-LEN(SUBSTITUTE(C134,修饰名称!$E$2:$E$93,修饰名称!$F$2:$F$93))))</f>
        <v>0</v>
      </c>
      <c r="E134" s="11"/>
      <c r="F134" s="11"/>
      <c r="G134" s="10"/>
      <c r="H134" s="11"/>
      <c r="I134" s="16"/>
      <c r="J134" s="16"/>
      <c r="K134" s="16"/>
    </row>
    <row r="135" ht="15.75" customHeight="1" spans="1:11">
      <c r="A135" s="131" t="s">
        <v>162</v>
      </c>
      <c r="B135" s="11"/>
      <c r="C135" s="135"/>
      <c r="D135" s="134">
        <f t="array" ref="D135">LEN(C135)-SUM((LEN(C135)-LEN(SUBSTITUTE(C135,修饰名称!$E$2:$E$93,修饰名称!$F$2:$F$93))))</f>
        <v>0</v>
      </c>
      <c r="E135" s="11"/>
      <c r="F135" s="11"/>
      <c r="G135" s="10"/>
      <c r="H135" s="11"/>
      <c r="I135" s="16"/>
      <c r="J135" s="16"/>
      <c r="K135" s="16"/>
    </row>
    <row r="136" ht="15.75" customHeight="1" spans="1:11">
      <c r="A136" s="131" t="s">
        <v>163</v>
      </c>
      <c r="B136" s="11"/>
      <c r="C136" s="135"/>
      <c r="D136" s="134">
        <f t="array" ref="D136">LEN(C136)-SUM((LEN(C136)-LEN(SUBSTITUTE(C136,修饰名称!$E$2:$E$93,修饰名称!$F$2:$F$93))))</f>
        <v>0</v>
      </c>
      <c r="E136" s="11"/>
      <c r="F136" s="11"/>
      <c r="G136" s="10"/>
      <c r="H136" s="11"/>
      <c r="I136" s="16"/>
      <c r="J136" s="16"/>
      <c r="K136" s="16"/>
    </row>
    <row r="137" ht="15.75" customHeight="1" spans="1:11">
      <c r="A137" s="131" t="s">
        <v>164</v>
      </c>
      <c r="B137" s="11"/>
      <c r="C137" s="135"/>
      <c r="D137" s="134">
        <f t="array" ref="D137">LEN(C137)-SUM((LEN(C137)-LEN(SUBSTITUTE(C137,修饰名称!$E$2:$E$93,修饰名称!$F$2:$F$93))))</f>
        <v>0</v>
      </c>
      <c r="E137" s="11"/>
      <c r="F137" s="11"/>
      <c r="G137" s="10"/>
      <c r="H137" s="11"/>
      <c r="I137" s="16"/>
      <c r="J137" s="16"/>
      <c r="K137" s="16"/>
    </row>
    <row r="138" ht="15.75" customHeight="1" spans="1:11">
      <c r="A138" s="131" t="s">
        <v>165</v>
      </c>
      <c r="B138" s="11"/>
      <c r="C138" s="135"/>
      <c r="D138" s="134">
        <f t="array" ref="D138">LEN(C138)-SUM((LEN(C138)-LEN(SUBSTITUTE(C138,修饰名称!$E$2:$E$93,修饰名称!$F$2:$F$93))))</f>
        <v>0</v>
      </c>
      <c r="E138" s="11"/>
      <c r="F138" s="11"/>
      <c r="G138" s="10"/>
      <c r="H138" s="11"/>
      <c r="I138" s="16"/>
      <c r="J138" s="16"/>
      <c r="K138" s="16"/>
    </row>
    <row r="139" ht="15.75" customHeight="1" spans="1:11">
      <c r="A139" s="131" t="s">
        <v>166</v>
      </c>
      <c r="B139" s="11"/>
      <c r="C139" s="135"/>
      <c r="D139" s="134">
        <f t="array" ref="D139">LEN(C139)-SUM((LEN(C139)-LEN(SUBSTITUTE(C139,修饰名称!$E$2:$E$93,修饰名称!$F$2:$F$93))))</f>
        <v>0</v>
      </c>
      <c r="E139" s="11"/>
      <c r="F139" s="11"/>
      <c r="G139" s="10"/>
      <c r="H139" s="11"/>
      <c r="I139" s="16"/>
      <c r="J139" s="16"/>
      <c r="K139" s="16"/>
    </row>
    <row r="140" ht="15.75" customHeight="1" spans="1:11">
      <c r="A140" s="131" t="s">
        <v>167</v>
      </c>
      <c r="B140" s="11"/>
      <c r="C140" s="135"/>
      <c r="D140" s="134">
        <f t="array" ref="D140">LEN(C140)-SUM((LEN(C140)-LEN(SUBSTITUTE(C140,修饰名称!$E$2:$E$93,修饰名称!$F$2:$F$93))))</f>
        <v>0</v>
      </c>
      <c r="E140" s="11"/>
      <c r="F140" s="11"/>
      <c r="G140" s="10"/>
      <c r="H140" s="11"/>
      <c r="I140" s="16"/>
      <c r="J140" s="16"/>
      <c r="K140" s="16"/>
    </row>
    <row r="141" ht="15.75" customHeight="1" spans="1:11">
      <c r="A141" s="131" t="s">
        <v>168</v>
      </c>
      <c r="B141" s="11"/>
      <c r="C141" s="135"/>
      <c r="D141" s="134">
        <f t="array" ref="D141">LEN(C141)-SUM((LEN(C141)-LEN(SUBSTITUTE(C141,修饰名称!$E$2:$E$93,修饰名称!$F$2:$F$93))))</f>
        <v>0</v>
      </c>
      <c r="E141" s="11"/>
      <c r="F141" s="11"/>
      <c r="G141" s="10"/>
      <c r="H141" s="11"/>
      <c r="I141" s="16"/>
      <c r="J141" s="16"/>
      <c r="K141" s="16"/>
    </row>
    <row r="142" ht="15.75" customHeight="1" spans="1:11">
      <c r="A142" s="131" t="s">
        <v>169</v>
      </c>
      <c r="B142" s="11"/>
      <c r="C142" s="135"/>
      <c r="D142" s="134">
        <f t="array" ref="D142">LEN(C142)-SUM((LEN(C142)-LEN(SUBSTITUTE(C142,修饰名称!$E$2:$E$93,修饰名称!$F$2:$F$93))))</f>
        <v>0</v>
      </c>
      <c r="E142" s="11"/>
      <c r="F142" s="11"/>
      <c r="G142" s="10"/>
      <c r="H142" s="11"/>
      <c r="I142" s="16"/>
      <c r="J142" s="16"/>
      <c r="K142" s="16"/>
    </row>
    <row r="143" ht="15.75" customHeight="1" spans="1:11">
      <c r="A143" s="131" t="s">
        <v>170</v>
      </c>
      <c r="B143" s="11"/>
      <c r="C143" s="135"/>
      <c r="D143" s="134">
        <f t="array" ref="D143">LEN(C143)-SUM((LEN(C143)-LEN(SUBSTITUTE(C143,修饰名称!$E$2:$E$93,修饰名称!$F$2:$F$93))))</f>
        <v>0</v>
      </c>
      <c r="E143" s="11"/>
      <c r="F143" s="11"/>
      <c r="G143" s="10"/>
      <c r="H143" s="11"/>
      <c r="I143" s="16"/>
      <c r="J143" s="16"/>
      <c r="K143" s="16"/>
    </row>
    <row r="144" ht="15.75" customHeight="1" spans="1:11">
      <c r="A144" s="131" t="s">
        <v>171</v>
      </c>
      <c r="B144" s="11"/>
      <c r="C144" s="135"/>
      <c r="D144" s="134">
        <f t="array" ref="D144">LEN(C144)-SUM((LEN(C144)-LEN(SUBSTITUTE(C144,修饰名称!$E$2:$E$93,修饰名称!$F$2:$F$93))))</f>
        <v>0</v>
      </c>
      <c r="E144" s="11"/>
      <c r="F144" s="11"/>
      <c r="G144" s="10"/>
      <c r="H144" s="11"/>
      <c r="I144" s="16"/>
      <c r="J144" s="16"/>
      <c r="K144" s="16"/>
    </row>
    <row r="145" ht="15.75" customHeight="1" spans="1:11">
      <c r="A145" s="131" t="s">
        <v>172</v>
      </c>
      <c r="B145" s="11"/>
      <c r="C145" s="135"/>
      <c r="D145" s="134">
        <f t="array" ref="D145">LEN(C145)-SUM((LEN(C145)-LEN(SUBSTITUTE(C145,修饰名称!$E$2:$E$93,修饰名称!$F$2:$F$93))))</f>
        <v>0</v>
      </c>
      <c r="E145" s="11"/>
      <c r="F145" s="11"/>
      <c r="G145" s="10"/>
      <c r="H145" s="11"/>
      <c r="I145" s="16"/>
      <c r="J145" s="16"/>
      <c r="K145" s="16"/>
    </row>
    <row r="146" ht="15.75" customHeight="1" spans="1:11">
      <c r="A146" s="131" t="s">
        <v>173</v>
      </c>
      <c r="B146" s="11"/>
      <c r="C146" s="135"/>
      <c r="D146" s="134">
        <f t="array" ref="D146">LEN(C146)-SUM((LEN(C146)-LEN(SUBSTITUTE(C146,修饰名称!$E$2:$E$93,修饰名称!$F$2:$F$93))))</f>
        <v>0</v>
      </c>
      <c r="E146" s="11"/>
      <c r="F146" s="11"/>
      <c r="G146" s="10"/>
      <c r="H146" s="11"/>
      <c r="I146" s="16"/>
      <c r="J146" s="16"/>
      <c r="K146" s="16"/>
    </row>
    <row r="147" ht="15.75" customHeight="1" spans="1:11">
      <c r="A147" s="131" t="s">
        <v>174</v>
      </c>
      <c r="B147" s="11"/>
      <c r="C147" s="135"/>
      <c r="D147" s="134">
        <f t="array" ref="D147">LEN(C147)-SUM((LEN(C147)-LEN(SUBSTITUTE(C147,修饰名称!$E$2:$E$93,修饰名称!$F$2:$F$93))))</f>
        <v>0</v>
      </c>
      <c r="E147" s="11"/>
      <c r="F147" s="11"/>
      <c r="G147" s="10"/>
      <c r="H147" s="11"/>
      <c r="I147" s="16"/>
      <c r="J147" s="16"/>
      <c r="K147" s="16"/>
    </row>
    <row r="148" ht="15.75" customHeight="1" spans="1:11">
      <c r="A148" s="131" t="s">
        <v>175</v>
      </c>
      <c r="B148" s="11"/>
      <c r="C148" s="135"/>
      <c r="D148" s="134">
        <f t="array" ref="D148">LEN(C148)-SUM((LEN(C148)-LEN(SUBSTITUTE(C148,修饰名称!$E$2:$E$93,修饰名称!$F$2:$F$93))))</f>
        <v>0</v>
      </c>
      <c r="E148" s="11"/>
      <c r="F148" s="11"/>
      <c r="G148" s="10"/>
      <c r="H148" s="11"/>
      <c r="I148" s="16"/>
      <c r="J148" s="16"/>
      <c r="K148" s="16"/>
    </row>
    <row r="149" ht="15.75" customHeight="1" spans="1:11">
      <c r="A149" s="131" t="s">
        <v>176</v>
      </c>
      <c r="B149" s="11"/>
      <c r="C149" s="135"/>
      <c r="D149" s="134">
        <f t="array" ref="D149">LEN(C149)-SUM((LEN(C149)-LEN(SUBSTITUTE(C149,修饰名称!$E$2:$E$93,修饰名称!$F$2:$F$93))))</f>
        <v>0</v>
      </c>
      <c r="E149" s="11"/>
      <c r="F149" s="11"/>
      <c r="G149" s="10"/>
      <c r="H149" s="11"/>
      <c r="I149" s="16"/>
      <c r="J149" s="16"/>
      <c r="K149" s="16"/>
    </row>
    <row r="150" ht="15.75" customHeight="1" spans="1:11">
      <c r="A150" s="131" t="s">
        <v>177</v>
      </c>
      <c r="B150" s="11"/>
      <c r="C150" s="135"/>
      <c r="D150" s="134">
        <f t="array" ref="D150">LEN(C150)-SUM((LEN(C150)-LEN(SUBSTITUTE(C150,修饰名称!$E$2:$E$93,修饰名称!$F$2:$F$93))))</f>
        <v>0</v>
      </c>
      <c r="E150" s="11"/>
      <c r="F150" s="11"/>
      <c r="G150" s="10"/>
      <c r="H150" s="11"/>
      <c r="I150" s="16"/>
      <c r="J150" s="16"/>
      <c r="K150" s="16"/>
    </row>
    <row r="151" ht="15.75" customHeight="1" spans="1:11">
      <c r="A151" s="131" t="s">
        <v>178</v>
      </c>
      <c r="B151" s="11"/>
      <c r="C151" s="135"/>
      <c r="D151" s="134">
        <f t="array" ref="D151">LEN(C151)-SUM((LEN(C151)-LEN(SUBSTITUTE(C151,修饰名称!$E$2:$E$93,修饰名称!$F$2:$F$93))))</f>
        <v>0</v>
      </c>
      <c r="E151" s="11"/>
      <c r="F151" s="11"/>
      <c r="G151" s="10"/>
      <c r="H151" s="11"/>
      <c r="I151" s="16"/>
      <c r="J151" s="16"/>
      <c r="K151" s="16"/>
    </row>
    <row r="152" ht="15.75" customHeight="1" spans="1:11">
      <c r="A152" s="131" t="s">
        <v>179</v>
      </c>
      <c r="B152" s="11"/>
      <c r="C152" s="135"/>
      <c r="D152" s="134">
        <f t="array" ref="D152">LEN(C152)-SUM((LEN(C152)-LEN(SUBSTITUTE(C152,修饰名称!$E$2:$E$93,修饰名称!$F$2:$F$93))))</f>
        <v>0</v>
      </c>
      <c r="E152" s="11"/>
      <c r="F152" s="11"/>
      <c r="G152" s="10"/>
      <c r="H152" s="11"/>
      <c r="I152" s="16"/>
      <c r="J152" s="16"/>
      <c r="K152" s="16"/>
    </row>
    <row r="153" ht="15.75" customHeight="1" spans="1:11">
      <c r="A153" s="131" t="s">
        <v>180</v>
      </c>
      <c r="B153" s="11"/>
      <c r="C153" s="135"/>
      <c r="D153" s="134">
        <f t="array" ref="D153">LEN(C153)-SUM((LEN(C153)-LEN(SUBSTITUTE(C153,修饰名称!$E$2:$E$93,修饰名称!$F$2:$F$93))))</f>
        <v>0</v>
      </c>
      <c r="E153" s="11"/>
      <c r="F153" s="11"/>
      <c r="G153" s="10"/>
      <c r="H153" s="11"/>
      <c r="I153" s="16"/>
      <c r="J153" s="16"/>
      <c r="K153" s="16"/>
    </row>
    <row r="154" ht="15.75" customHeight="1" spans="1:11">
      <c r="A154" s="131" t="s">
        <v>181</v>
      </c>
      <c r="B154" s="11"/>
      <c r="C154" s="135"/>
      <c r="D154" s="134">
        <f t="array" ref="D154">LEN(C154)-SUM((LEN(C154)-LEN(SUBSTITUTE(C154,修饰名称!$E$2:$E$93,修饰名称!$F$2:$F$93))))</f>
        <v>0</v>
      </c>
      <c r="E154" s="11"/>
      <c r="F154" s="11"/>
      <c r="G154" s="10"/>
      <c r="H154" s="11"/>
      <c r="I154" s="16"/>
      <c r="J154" s="16"/>
      <c r="K154" s="16"/>
    </row>
    <row r="155" ht="15.75" customHeight="1" spans="1:11">
      <c r="A155" s="131" t="s">
        <v>182</v>
      </c>
      <c r="B155" s="11"/>
      <c r="C155" s="135"/>
      <c r="D155" s="134">
        <f t="array" ref="D155">LEN(C155)-SUM((LEN(C155)-LEN(SUBSTITUTE(C155,修饰名称!$E$2:$E$93,修饰名称!$F$2:$F$93))))</f>
        <v>0</v>
      </c>
      <c r="E155" s="11"/>
      <c r="F155" s="11"/>
      <c r="G155" s="10"/>
      <c r="H155" s="11"/>
      <c r="I155" s="16"/>
      <c r="J155" s="16"/>
      <c r="K155" s="16"/>
    </row>
    <row r="156" ht="15.75" customHeight="1" spans="1:11">
      <c r="A156" s="131" t="s">
        <v>183</v>
      </c>
      <c r="B156" s="11"/>
      <c r="C156" s="135"/>
      <c r="D156" s="134">
        <f t="array" ref="D156">LEN(C156)-SUM((LEN(C156)-LEN(SUBSTITUTE(C156,修饰名称!$E$2:$E$93,修饰名称!$F$2:$F$93))))</f>
        <v>0</v>
      </c>
      <c r="E156" s="11"/>
      <c r="F156" s="11"/>
      <c r="G156" s="10"/>
      <c r="H156" s="11"/>
      <c r="I156" s="16"/>
      <c r="J156" s="16"/>
      <c r="K156" s="16"/>
    </row>
    <row r="157" ht="15.75" customHeight="1" spans="1:11">
      <c r="A157" s="131" t="s">
        <v>184</v>
      </c>
      <c r="B157" s="11"/>
      <c r="C157" s="135"/>
      <c r="D157" s="134">
        <f t="array" ref="D157">LEN(C157)-SUM((LEN(C157)-LEN(SUBSTITUTE(C157,修饰名称!$E$2:$E$93,修饰名称!$F$2:$F$93))))</f>
        <v>0</v>
      </c>
      <c r="E157" s="11"/>
      <c r="F157" s="11"/>
      <c r="G157" s="10"/>
      <c r="H157" s="11"/>
      <c r="I157" s="16"/>
      <c r="J157" s="16"/>
      <c r="K157" s="16"/>
    </row>
    <row r="158" ht="15.75" customHeight="1" spans="1:11">
      <c r="A158" s="131" t="s">
        <v>185</v>
      </c>
      <c r="B158" s="11"/>
      <c r="C158" s="135"/>
      <c r="D158" s="134">
        <f t="array" ref="D158">LEN(C158)-SUM((LEN(C158)-LEN(SUBSTITUTE(C158,修饰名称!$E$2:$E$93,修饰名称!$F$2:$F$93))))</f>
        <v>0</v>
      </c>
      <c r="E158" s="11"/>
      <c r="F158" s="11"/>
      <c r="G158" s="10"/>
      <c r="H158" s="11"/>
      <c r="I158" s="16"/>
      <c r="J158" s="16"/>
      <c r="K158" s="16"/>
    </row>
    <row r="159" ht="15.75" customHeight="1" spans="1:11">
      <c r="A159" s="131" t="s">
        <v>186</v>
      </c>
      <c r="B159" s="11"/>
      <c r="C159" s="135"/>
      <c r="D159" s="134">
        <f t="array" ref="D159">LEN(C159)-SUM((LEN(C159)-LEN(SUBSTITUTE(C159,修饰名称!$E$2:$E$93,修饰名称!$F$2:$F$93))))</f>
        <v>0</v>
      </c>
      <c r="E159" s="11"/>
      <c r="F159" s="11"/>
      <c r="G159" s="10"/>
      <c r="H159" s="11"/>
      <c r="I159" s="16"/>
      <c r="J159" s="16"/>
      <c r="K159" s="16"/>
    </row>
    <row r="160" ht="15.75" customHeight="1" spans="1:11">
      <c r="A160" s="131" t="s">
        <v>187</v>
      </c>
      <c r="B160" s="11"/>
      <c r="C160" s="135"/>
      <c r="D160" s="134">
        <f t="array" ref="D160">LEN(C160)-SUM((LEN(C160)-LEN(SUBSTITUTE(C160,修饰名称!$E$2:$E$93,修饰名称!$F$2:$F$93))))</f>
        <v>0</v>
      </c>
      <c r="E160" s="11"/>
      <c r="F160" s="11"/>
      <c r="G160" s="10"/>
      <c r="H160" s="11"/>
      <c r="I160" s="16"/>
      <c r="J160" s="16"/>
      <c r="K160" s="16"/>
    </row>
    <row r="161" ht="15.75" customHeight="1" spans="1:11">
      <c r="A161" s="131" t="s">
        <v>188</v>
      </c>
      <c r="B161" s="11"/>
      <c r="C161" s="135"/>
      <c r="D161" s="134">
        <f t="array" ref="D161">LEN(C161)-SUM((LEN(C161)-LEN(SUBSTITUTE(C161,修饰名称!$E$2:$E$93,修饰名称!$F$2:$F$93))))</f>
        <v>0</v>
      </c>
      <c r="E161" s="11"/>
      <c r="F161" s="11"/>
      <c r="G161" s="10"/>
      <c r="H161" s="11"/>
      <c r="I161" s="16"/>
      <c r="J161" s="16"/>
      <c r="K161" s="16"/>
    </row>
    <row r="162" ht="15.75" customHeight="1" spans="1:11">
      <c r="A162" s="131" t="s">
        <v>189</v>
      </c>
      <c r="B162" s="11"/>
      <c r="C162" s="135"/>
      <c r="D162" s="134">
        <f t="array" ref="D162">LEN(C162)-SUM((LEN(C162)-LEN(SUBSTITUTE(C162,修饰名称!$E$2:$E$93,修饰名称!$F$2:$F$93))))</f>
        <v>0</v>
      </c>
      <c r="E162" s="11"/>
      <c r="F162" s="11"/>
      <c r="G162" s="10"/>
      <c r="H162" s="11"/>
      <c r="I162" s="16"/>
      <c r="J162" s="16"/>
      <c r="K162" s="16"/>
    </row>
    <row r="163" ht="15.75" customHeight="1" spans="1:11">
      <c r="A163" s="131" t="s">
        <v>190</v>
      </c>
      <c r="B163" s="11"/>
      <c r="C163" s="135"/>
      <c r="D163" s="134">
        <f t="array" ref="D163">LEN(C163)-SUM((LEN(C163)-LEN(SUBSTITUTE(C163,修饰名称!$E$2:$E$93,修饰名称!$F$2:$F$93))))</f>
        <v>0</v>
      </c>
      <c r="E163" s="11"/>
      <c r="F163" s="11"/>
      <c r="G163" s="10"/>
      <c r="H163" s="11"/>
      <c r="I163" s="16"/>
      <c r="J163" s="16"/>
      <c r="K163" s="16"/>
    </row>
    <row r="164" ht="15.75" customHeight="1" spans="1:11">
      <c r="A164" s="131" t="s">
        <v>191</v>
      </c>
      <c r="B164" s="11"/>
      <c r="C164" s="135"/>
      <c r="D164" s="134">
        <f t="array" ref="D164">LEN(C164)-SUM((LEN(C164)-LEN(SUBSTITUTE(C164,修饰名称!$E$2:$E$93,修饰名称!$F$2:$F$93))))</f>
        <v>0</v>
      </c>
      <c r="E164" s="11"/>
      <c r="F164" s="11"/>
      <c r="G164" s="10"/>
      <c r="H164" s="11"/>
      <c r="I164" s="16"/>
      <c r="J164" s="16"/>
      <c r="K164" s="16"/>
    </row>
    <row r="165" ht="15.75" customHeight="1" spans="1:11">
      <c r="A165" s="131" t="s">
        <v>192</v>
      </c>
      <c r="B165" s="11"/>
      <c r="C165" s="135"/>
      <c r="D165" s="134">
        <f t="array" ref="D165">LEN(C165)-SUM((LEN(C165)-LEN(SUBSTITUTE(C165,修饰名称!$E$2:$E$93,修饰名称!$F$2:$F$93))))</f>
        <v>0</v>
      </c>
      <c r="E165" s="11"/>
      <c r="F165" s="11"/>
      <c r="G165" s="10"/>
      <c r="H165" s="11"/>
      <c r="I165" s="16"/>
      <c r="J165" s="16"/>
      <c r="K165" s="16"/>
    </row>
    <row r="166" ht="15.75" customHeight="1" spans="1:11">
      <c r="A166" s="131" t="s">
        <v>193</v>
      </c>
      <c r="B166" s="11"/>
      <c r="C166" s="135"/>
      <c r="D166" s="134">
        <f t="array" ref="D166">LEN(C166)-SUM((LEN(C166)-LEN(SUBSTITUTE(C166,修饰名称!$E$2:$E$93,修饰名称!$F$2:$F$93))))</f>
        <v>0</v>
      </c>
      <c r="E166" s="11"/>
      <c r="F166" s="11"/>
      <c r="G166" s="10"/>
      <c r="H166" s="11"/>
      <c r="I166" s="16"/>
      <c r="J166" s="16"/>
      <c r="K166" s="16"/>
    </row>
    <row r="167" ht="15.75" customHeight="1" spans="1:11">
      <c r="A167" s="131" t="s">
        <v>194</v>
      </c>
      <c r="B167" s="11"/>
      <c r="C167" s="135"/>
      <c r="D167" s="134">
        <f t="array" ref="D167">LEN(C167)-SUM((LEN(C167)-LEN(SUBSTITUTE(C167,修饰名称!$E$2:$E$93,修饰名称!$F$2:$F$93))))</f>
        <v>0</v>
      </c>
      <c r="E167" s="11"/>
      <c r="F167" s="11"/>
      <c r="G167" s="10"/>
      <c r="H167" s="11"/>
      <c r="I167" s="16"/>
      <c r="J167" s="16"/>
      <c r="K167" s="16"/>
    </row>
    <row r="168" ht="15.75" customHeight="1" spans="1:11">
      <c r="A168" s="131" t="s">
        <v>195</v>
      </c>
      <c r="B168" s="11"/>
      <c r="C168" s="135"/>
      <c r="D168" s="134">
        <f t="array" ref="D168">LEN(C168)-SUM((LEN(C168)-LEN(SUBSTITUTE(C168,修饰名称!$E$2:$E$93,修饰名称!$F$2:$F$93))))</f>
        <v>0</v>
      </c>
      <c r="E168" s="11"/>
      <c r="F168" s="11"/>
      <c r="G168" s="10"/>
      <c r="H168" s="11"/>
      <c r="I168" s="16"/>
      <c r="J168" s="16"/>
      <c r="K168" s="16"/>
    </row>
    <row r="169" ht="15.75" customHeight="1" spans="1:11">
      <c r="A169" s="131" t="s">
        <v>196</v>
      </c>
      <c r="B169" s="11"/>
      <c r="C169" s="135"/>
      <c r="D169" s="134">
        <f t="array" ref="D169">LEN(C169)-SUM((LEN(C169)-LEN(SUBSTITUTE(C169,修饰名称!$E$2:$E$93,修饰名称!$F$2:$F$93))))</f>
        <v>0</v>
      </c>
      <c r="E169" s="11"/>
      <c r="F169" s="11"/>
      <c r="G169" s="10"/>
      <c r="H169" s="11"/>
      <c r="I169" s="16"/>
      <c r="J169" s="16"/>
      <c r="K169" s="16"/>
    </row>
    <row r="170" ht="15.75" customHeight="1" spans="1:11">
      <c r="A170" s="131" t="s">
        <v>197</v>
      </c>
      <c r="B170" s="11"/>
      <c r="C170" s="135"/>
      <c r="D170" s="134">
        <f t="array" ref="D170">LEN(C170)-SUM((LEN(C170)-LEN(SUBSTITUTE(C170,修饰名称!$E$2:$E$93,修饰名称!$F$2:$F$93))))</f>
        <v>0</v>
      </c>
      <c r="E170" s="11"/>
      <c r="F170" s="11"/>
      <c r="G170" s="10"/>
      <c r="H170" s="11"/>
      <c r="I170" s="16"/>
      <c r="J170" s="16"/>
      <c r="K170" s="16"/>
    </row>
    <row r="171" ht="15.75" customHeight="1" spans="1:11">
      <c r="A171" s="131" t="s">
        <v>198</v>
      </c>
      <c r="B171" s="11"/>
      <c r="C171" s="135"/>
      <c r="D171" s="134">
        <f t="array" ref="D171">LEN(C171)-SUM((LEN(C171)-LEN(SUBSTITUTE(C171,修饰名称!$E$2:$E$93,修饰名称!$F$2:$F$93))))</f>
        <v>0</v>
      </c>
      <c r="E171" s="11"/>
      <c r="F171" s="11"/>
      <c r="G171" s="10"/>
      <c r="H171" s="11"/>
      <c r="I171" s="16"/>
      <c r="J171" s="16"/>
      <c r="K171" s="16"/>
    </row>
    <row r="172" ht="15.75" customHeight="1" spans="1:11">
      <c r="A172" s="131" t="s">
        <v>199</v>
      </c>
      <c r="B172" s="11"/>
      <c r="C172" s="135"/>
      <c r="D172" s="134">
        <f t="array" ref="D172">LEN(C172)-SUM((LEN(C172)-LEN(SUBSTITUTE(C172,修饰名称!$E$2:$E$93,修饰名称!$F$2:$F$93))))</f>
        <v>0</v>
      </c>
      <c r="E172" s="11"/>
      <c r="F172" s="11"/>
      <c r="G172" s="10"/>
      <c r="H172" s="11"/>
      <c r="I172" s="16"/>
      <c r="J172" s="16"/>
      <c r="K172" s="16"/>
    </row>
    <row r="173" ht="15.75" customHeight="1" spans="1:11">
      <c r="A173" s="131" t="s">
        <v>200</v>
      </c>
      <c r="B173" s="11"/>
      <c r="C173" s="135"/>
      <c r="D173" s="134">
        <f t="array" ref="D173">LEN(C173)-SUM((LEN(C173)-LEN(SUBSTITUTE(C173,修饰名称!$E$2:$E$93,修饰名称!$F$2:$F$93))))</f>
        <v>0</v>
      </c>
      <c r="E173" s="11"/>
      <c r="F173" s="11"/>
      <c r="G173" s="10"/>
      <c r="H173" s="11"/>
      <c r="I173" s="16"/>
      <c r="J173" s="16"/>
      <c r="K173" s="16"/>
    </row>
    <row r="174" ht="15.75" customHeight="1" spans="1:11">
      <c r="A174" s="131" t="s">
        <v>201</v>
      </c>
      <c r="B174" s="11"/>
      <c r="C174" s="135"/>
      <c r="D174" s="134">
        <f t="array" ref="D174">LEN(C174)-SUM((LEN(C174)-LEN(SUBSTITUTE(C174,修饰名称!$E$2:$E$93,修饰名称!$F$2:$F$93))))</f>
        <v>0</v>
      </c>
      <c r="E174" s="11"/>
      <c r="F174" s="11"/>
      <c r="G174" s="10"/>
      <c r="H174" s="11"/>
      <c r="I174" s="16"/>
      <c r="J174" s="16"/>
      <c r="K174" s="16"/>
    </row>
    <row r="175" ht="15.75" customHeight="1" spans="1:11">
      <c r="A175" s="131" t="s">
        <v>202</v>
      </c>
      <c r="B175" s="11"/>
      <c r="C175" s="135"/>
      <c r="D175" s="134">
        <f t="array" ref="D175">LEN(C175)-SUM((LEN(C175)-LEN(SUBSTITUTE(C175,修饰名称!$E$2:$E$93,修饰名称!$F$2:$F$93))))</f>
        <v>0</v>
      </c>
      <c r="E175" s="11"/>
      <c r="F175" s="11"/>
      <c r="G175" s="10"/>
      <c r="H175" s="11"/>
      <c r="I175" s="16"/>
      <c r="J175" s="16"/>
      <c r="K175" s="16"/>
    </row>
    <row r="176" ht="15.75" customHeight="1" spans="1:11">
      <c r="A176" s="131" t="s">
        <v>203</v>
      </c>
      <c r="B176" s="11"/>
      <c r="C176" s="135"/>
      <c r="D176" s="134">
        <f t="array" ref="D176">LEN(C176)-SUM((LEN(C176)-LEN(SUBSTITUTE(C176,修饰名称!$E$2:$E$93,修饰名称!$F$2:$F$93))))</f>
        <v>0</v>
      </c>
      <c r="E176" s="11"/>
      <c r="F176" s="11"/>
      <c r="G176" s="10"/>
      <c r="H176" s="11"/>
      <c r="I176" s="16"/>
      <c r="J176" s="16"/>
      <c r="K176" s="16"/>
    </row>
    <row r="177" ht="15.75" customHeight="1" spans="1:11">
      <c r="A177" s="131" t="s">
        <v>204</v>
      </c>
      <c r="B177" s="11"/>
      <c r="C177" s="135"/>
      <c r="D177" s="134">
        <f t="array" ref="D177">LEN(C177)-SUM((LEN(C177)-LEN(SUBSTITUTE(C177,修饰名称!$E$2:$E$93,修饰名称!$F$2:$F$93))))</f>
        <v>0</v>
      </c>
      <c r="E177" s="11"/>
      <c r="F177" s="11"/>
      <c r="G177" s="10"/>
      <c r="H177" s="11"/>
      <c r="I177" s="16"/>
      <c r="J177" s="16"/>
      <c r="K177" s="16"/>
    </row>
    <row r="178" ht="15.75" customHeight="1" spans="1:11">
      <c r="A178" s="131" t="s">
        <v>205</v>
      </c>
      <c r="B178" s="11"/>
      <c r="C178" s="135"/>
      <c r="D178" s="134">
        <f t="array" ref="D178">LEN(C178)-SUM((LEN(C178)-LEN(SUBSTITUTE(C178,修饰名称!$E$2:$E$93,修饰名称!$F$2:$F$93))))</f>
        <v>0</v>
      </c>
      <c r="E178" s="11"/>
      <c r="F178" s="11"/>
      <c r="G178" s="10"/>
      <c r="H178" s="11"/>
      <c r="I178" s="16"/>
      <c r="J178" s="16"/>
      <c r="K178" s="16"/>
    </row>
    <row r="179" ht="15.75" customHeight="1" spans="1:11">
      <c r="A179" s="131" t="s">
        <v>206</v>
      </c>
      <c r="B179" s="11"/>
      <c r="C179" s="135"/>
      <c r="D179" s="134">
        <f t="array" ref="D179">LEN(C179)-SUM((LEN(C179)-LEN(SUBSTITUTE(C179,修饰名称!$E$2:$E$93,修饰名称!$F$2:$F$93))))</f>
        <v>0</v>
      </c>
      <c r="E179" s="11"/>
      <c r="F179" s="11"/>
      <c r="G179" s="10"/>
      <c r="H179" s="11"/>
      <c r="I179" s="16"/>
      <c r="J179" s="16"/>
      <c r="K179" s="16"/>
    </row>
    <row r="180" ht="15.75" customHeight="1" spans="1:11">
      <c r="A180" s="131" t="s">
        <v>207</v>
      </c>
      <c r="B180" s="11"/>
      <c r="C180" s="135"/>
      <c r="D180" s="134">
        <f t="array" ref="D180">LEN(C180)-SUM((LEN(C180)-LEN(SUBSTITUTE(C180,修饰名称!$E$2:$E$93,修饰名称!$F$2:$F$93))))</f>
        <v>0</v>
      </c>
      <c r="E180" s="11"/>
      <c r="F180" s="11"/>
      <c r="G180" s="10"/>
      <c r="H180" s="11"/>
      <c r="I180" s="16"/>
      <c r="J180" s="16"/>
      <c r="K180" s="16"/>
    </row>
    <row r="181" ht="15.75" customHeight="1" spans="1:11">
      <c r="A181" s="131" t="s">
        <v>208</v>
      </c>
      <c r="B181" s="11"/>
      <c r="C181" s="135"/>
      <c r="D181" s="134">
        <f t="array" ref="D181">LEN(C181)-SUM((LEN(C181)-LEN(SUBSTITUTE(C181,修饰名称!$E$2:$E$93,修饰名称!$F$2:$F$93))))</f>
        <v>0</v>
      </c>
      <c r="E181" s="11"/>
      <c r="F181" s="11"/>
      <c r="G181" s="10"/>
      <c r="H181" s="11"/>
      <c r="I181" s="16"/>
      <c r="J181" s="16"/>
      <c r="K181" s="16"/>
    </row>
    <row r="182" ht="15.75" customHeight="1" spans="1:11">
      <c r="A182" s="131" t="s">
        <v>209</v>
      </c>
      <c r="B182" s="11"/>
      <c r="C182" s="135"/>
      <c r="D182" s="134">
        <f t="array" ref="D182">LEN(C182)-SUM((LEN(C182)-LEN(SUBSTITUTE(C182,修饰名称!$E$2:$E$93,修饰名称!$F$2:$F$93))))</f>
        <v>0</v>
      </c>
      <c r="E182" s="11"/>
      <c r="F182" s="11"/>
      <c r="G182" s="10"/>
      <c r="H182" s="11"/>
      <c r="I182" s="16"/>
      <c r="J182" s="16"/>
      <c r="K182" s="16"/>
    </row>
    <row r="183" ht="15.75" customHeight="1" spans="1:11">
      <c r="A183" s="131" t="s">
        <v>210</v>
      </c>
      <c r="B183" s="11"/>
      <c r="C183" s="135"/>
      <c r="D183" s="134">
        <f t="array" ref="D183">LEN(C183)-SUM((LEN(C183)-LEN(SUBSTITUTE(C183,修饰名称!$E$2:$E$93,修饰名称!$F$2:$F$93))))</f>
        <v>0</v>
      </c>
      <c r="E183" s="11"/>
      <c r="F183" s="11"/>
      <c r="G183" s="10"/>
      <c r="H183" s="11"/>
      <c r="I183" s="16"/>
      <c r="J183" s="16"/>
      <c r="K183" s="16"/>
    </row>
    <row r="184" ht="15.75" customHeight="1" spans="1:11">
      <c r="A184" s="131" t="s">
        <v>211</v>
      </c>
      <c r="B184" s="11"/>
      <c r="C184" s="135"/>
      <c r="D184" s="134">
        <f t="array" ref="D184">LEN(C184)-SUM((LEN(C184)-LEN(SUBSTITUTE(C184,修饰名称!$E$2:$E$93,修饰名称!$F$2:$F$93))))</f>
        <v>0</v>
      </c>
      <c r="E184" s="11"/>
      <c r="F184" s="11"/>
      <c r="G184" s="10"/>
      <c r="H184" s="11"/>
      <c r="I184" s="16"/>
      <c r="J184" s="16"/>
      <c r="K184" s="16"/>
    </row>
    <row r="185" ht="15.75" customHeight="1" spans="1:11">
      <c r="A185" s="131" t="s">
        <v>212</v>
      </c>
      <c r="B185" s="11"/>
      <c r="C185" s="135"/>
      <c r="D185" s="134">
        <f t="array" ref="D185">LEN(C185)-SUM((LEN(C185)-LEN(SUBSTITUTE(C185,修饰名称!$E$2:$E$93,修饰名称!$F$2:$F$93))))</f>
        <v>0</v>
      </c>
      <c r="E185" s="11"/>
      <c r="F185" s="11"/>
      <c r="G185" s="10"/>
      <c r="H185" s="11"/>
      <c r="I185" s="16"/>
      <c r="J185" s="16"/>
      <c r="K185" s="16"/>
    </row>
    <row r="186" ht="15.75" customHeight="1" spans="1:11">
      <c r="A186" s="131" t="s">
        <v>213</v>
      </c>
      <c r="B186" s="11"/>
      <c r="C186" s="135"/>
      <c r="D186" s="134">
        <f t="array" ref="D186">LEN(C186)-SUM((LEN(C186)-LEN(SUBSTITUTE(C186,修饰名称!$E$2:$E$93,修饰名称!$F$2:$F$93))))</f>
        <v>0</v>
      </c>
      <c r="E186" s="11"/>
      <c r="F186" s="11"/>
      <c r="G186" s="10"/>
      <c r="H186" s="11"/>
      <c r="I186" s="16"/>
      <c r="J186" s="16"/>
      <c r="K186" s="16"/>
    </row>
    <row r="187" ht="15.75" customHeight="1" spans="1:11">
      <c r="A187" s="131" t="s">
        <v>214</v>
      </c>
      <c r="B187" s="11"/>
      <c r="C187" s="135"/>
      <c r="D187" s="134">
        <f t="array" ref="D187">LEN(C187)-SUM((LEN(C187)-LEN(SUBSTITUTE(C187,修饰名称!$E$2:$E$93,修饰名称!$F$2:$F$93))))</f>
        <v>0</v>
      </c>
      <c r="E187" s="11"/>
      <c r="F187" s="11"/>
      <c r="G187" s="10"/>
      <c r="H187" s="11"/>
      <c r="I187" s="16"/>
      <c r="J187" s="16"/>
      <c r="K187" s="16"/>
    </row>
    <row r="188" ht="15.75" customHeight="1" spans="1:11">
      <c r="A188" s="131" t="s">
        <v>215</v>
      </c>
      <c r="B188" s="11"/>
      <c r="C188" s="135"/>
      <c r="D188" s="134">
        <f t="array" ref="D188">LEN(C188)-SUM((LEN(C188)-LEN(SUBSTITUTE(C188,修饰名称!$E$2:$E$93,修饰名称!$F$2:$F$93))))</f>
        <v>0</v>
      </c>
      <c r="E188" s="11"/>
      <c r="F188" s="11"/>
      <c r="G188" s="10"/>
      <c r="H188" s="11"/>
      <c r="I188" s="16"/>
      <c r="J188" s="16"/>
      <c r="K188" s="16"/>
    </row>
    <row r="189" ht="15.75" customHeight="1" spans="1:11">
      <c r="A189" s="131" t="s">
        <v>216</v>
      </c>
      <c r="B189" s="11"/>
      <c r="C189" s="135"/>
      <c r="D189" s="134">
        <f t="array" ref="D189">LEN(C189)-SUM((LEN(C189)-LEN(SUBSTITUTE(C189,修饰名称!$E$2:$E$93,修饰名称!$F$2:$F$93))))</f>
        <v>0</v>
      </c>
      <c r="E189" s="11"/>
      <c r="F189" s="11"/>
      <c r="G189" s="10"/>
      <c r="H189" s="11"/>
      <c r="I189" s="16"/>
      <c r="J189" s="16"/>
      <c r="K189" s="16"/>
    </row>
    <row r="190" ht="15.75" customHeight="1" spans="1:11">
      <c r="A190" s="131" t="s">
        <v>217</v>
      </c>
      <c r="B190" s="11"/>
      <c r="C190" s="135"/>
      <c r="D190" s="134">
        <f t="array" ref="D190">LEN(C190)-SUM((LEN(C190)-LEN(SUBSTITUTE(C190,修饰名称!$E$2:$E$93,修饰名称!$F$2:$F$93))))</f>
        <v>0</v>
      </c>
      <c r="E190" s="11"/>
      <c r="F190" s="11"/>
      <c r="G190" s="10"/>
      <c r="H190" s="11"/>
      <c r="I190" s="16"/>
      <c r="J190" s="16"/>
      <c r="K190" s="16"/>
    </row>
    <row r="191" ht="15.75" customHeight="1" spans="1:11">
      <c r="A191" s="131" t="s">
        <v>218</v>
      </c>
      <c r="B191" s="11"/>
      <c r="C191" s="135"/>
      <c r="D191" s="134">
        <f t="array" ref="D191">LEN(C191)-SUM((LEN(C191)-LEN(SUBSTITUTE(C191,修饰名称!$E$2:$E$93,修饰名称!$F$2:$F$93))))</f>
        <v>0</v>
      </c>
      <c r="E191" s="11"/>
      <c r="F191" s="11"/>
      <c r="G191" s="10"/>
      <c r="H191" s="11"/>
      <c r="I191" s="16"/>
      <c r="J191" s="16"/>
      <c r="K191" s="16"/>
    </row>
    <row r="192" ht="15.75" customHeight="1" spans="1:11">
      <c r="A192" s="131" t="s">
        <v>219</v>
      </c>
      <c r="B192" s="11"/>
      <c r="C192" s="135"/>
      <c r="D192" s="134">
        <f t="array" ref="D192">LEN(C192)-SUM((LEN(C192)-LEN(SUBSTITUTE(C192,修饰名称!$E$2:$E$93,修饰名称!$F$2:$F$93))))</f>
        <v>0</v>
      </c>
      <c r="E192" s="11"/>
      <c r="F192" s="11"/>
      <c r="G192" s="10"/>
      <c r="H192" s="11"/>
      <c r="I192" s="16"/>
      <c r="J192" s="16"/>
      <c r="K192" s="16"/>
    </row>
    <row r="193" ht="15.75" customHeight="1" spans="1:11">
      <c r="A193" s="131" t="s">
        <v>220</v>
      </c>
      <c r="B193" s="11"/>
      <c r="C193" s="135"/>
      <c r="D193" s="134">
        <f t="array" ref="D193">LEN(C193)-SUM((LEN(C193)-LEN(SUBSTITUTE(C193,修饰名称!$E$2:$E$93,修饰名称!$F$2:$F$93))))</f>
        <v>0</v>
      </c>
      <c r="E193" s="11"/>
      <c r="F193" s="11"/>
      <c r="G193" s="10"/>
      <c r="H193" s="11"/>
      <c r="I193" s="16"/>
      <c r="J193" s="16"/>
      <c r="K193" s="16"/>
    </row>
    <row r="194" ht="15.75" customHeight="1" spans="1:11">
      <c r="A194" s="131" t="s">
        <v>221</v>
      </c>
      <c r="B194" s="11"/>
      <c r="C194" s="135"/>
      <c r="D194" s="134">
        <f t="array" ref="D194">LEN(C194)-SUM((LEN(C194)-LEN(SUBSTITUTE(C194,修饰名称!$E$2:$E$93,修饰名称!$F$2:$F$93))))</f>
        <v>0</v>
      </c>
      <c r="E194" s="11"/>
      <c r="F194" s="11"/>
      <c r="G194" s="10"/>
      <c r="H194" s="11"/>
      <c r="I194" s="16"/>
      <c r="J194" s="16"/>
      <c r="K194" s="16"/>
    </row>
    <row r="195" ht="15.75" customHeight="1" spans="1:11">
      <c r="A195" s="131" t="s">
        <v>222</v>
      </c>
      <c r="B195" s="11"/>
      <c r="C195" s="135"/>
      <c r="D195" s="134">
        <f t="array" ref="D195">LEN(C195)-SUM((LEN(C195)-LEN(SUBSTITUTE(C195,修饰名称!$E$2:$E$93,修饰名称!$F$2:$F$93))))</f>
        <v>0</v>
      </c>
      <c r="E195" s="11"/>
      <c r="F195" s="11"/>
      <c r="G195" s="10"/>
      <c r="H195" s="11"/>
      <c r="I195" s="16"/>
      <c r="J195" s="16"/>
      <c r="K195" s="16"/>
    </row>
    <row r="196" ht="15.75" customHeight="1" spans="1:11">
      <c r="A196" s="131" t="s">
        <v>223</v>
      </c>
      <c r="B196" s="11"/>
      <c r="C196" s="135"/>
      <c r="D196" s="134">
        <f t="array" ref="D196">LEN(C196)-SUM((LEN(C196)-LEN(SUBSTITUTE(C196,修饰名称!$E$2:$E$93,修饰名称!$F$2:$F$93))))</f>
        <v>0</v>
      </c>
      <c r="E196" s="11"/>
      <c r="F196" s="11"/>
      <c r="G196" s="10"/>
      <c r="H196" s="11"/>
      <c r="I196" s="16"/>
      <c r="J196" s="16"/>
      <c r="K196" s="16"/>
    </row>
    <row r="197" ht="15.75" customHeight="1" spans="1:11">
      <c r="A197" s="131" t="s">
        <v>224</v>
      </c>
      <c r="B197" s="11"/>
      <c r="C197" s="135"/>
      <c r="D197" s="134">
        <f t="array" ref="D197">LEN(C197)-SUM((LEN(C197)-LEN(SUBSTITUTE(C197,修饰名称!$E$2:$E$93,修饰名称!$F$2:$F$93))))</f>
        <v>0</v>
      </c>
      <c r="E197" s="11"/>
      <c r="F197" s="11"/>
      <c r="G197" s="10"/>
      <c r="H197" s="11"/>
      <c r="I197" s="16"/>
      <c r="J197" s="16"/>
      <c r="K197" s="16"/>
    </row>
    <row r="198" ht="15.75" customHeight="1" spans="1:11">
      <c r="A198" s="131" t="s">
        <v>225</v>
      </c>
      <c r="B198" s="11"/>
      <c r="C198" s="135"/>
      <c r="D198" s="134">
        <f t="array" ref="D198">LEN(C198)-SUM((LEN(C198)-LEN(SUBSTITUTE(C198,修饰名称!$E$2:$E$93,修饰名称!$F$2:$F$93))))</f>
        <v>0</v>
      </c>
      <c r="E198" s="11"/>
      <c r="F198" s="11"/>
      <c r="G198" s="10"/>
      <c r="H198" s="11"/>
      <c r="I198" s="16"/>
      <c r="J198" s="16"/>
      <c r="K198" s="16"/>
    </row>
    <row r="199" ht="15.75" customHeight="1" spans="1:11">
      <c r="A199" s="131" t="s">
        <v>226</v>
      </c>
      <c r="B199" s="11"/>
      <c r="C199" s="135"/>
      <c r="D199" s="134">
        <f t="array" ref="D199">LEN(C199)-SUM((LEN(C199)-LEN(SUBSTITUTE(C199,修饰名称!$E$2:$E$93,修饰名称!$F$2:$F$93))))</f>
        <v>0</v>
      </c>
      <c r="E199" s="11"/>
      <c r="F199" s="11"/>
      <c r="G199" s="10"/>
      <c r="H199" s="11"/>
      <c r="I199" s="16"/>
      <c r="J199" s="16"/>
      <c r="K199" s="16"/>
    </row>
    <row r="200" ht="15.75" customHeight="1" spans="1:11">
      <c r="A200" s="131" t="s">
        <v>227</v>
      </c>
      <c r="B200" s="11"/>
      <c r="C200" s="135"/>
      <c r="D200" s="134">
        <f t="array" ref="D200">LEN(C200)-SUM((LEN(C200)-LEN(SUBSTITUTE(C200,修饰名称!$E$2:$E$93,修饰名称!$F$2:$F$93))))</f>
        <v>0</v>
      </c>
      <c r="E200" s="11"/>
      <c r="F200" s="11"/>
      <c r="G200" s="10"/>
      <c r="H200" s="11"/>
      <c r="I200" s="16"/>
      <c r="J200" s="16"/>
      <c r="K200" s="16"/>
    </row>
    <row r="201" ht="15.75" customHeight="1" spans="1:11">
      <c r="A201" s="131" t="s">
        <v>228</v>
      </c>
      <c r="B201" s="11"/>
      <c r="C201" s="135"/>
      <c r="D201" s="134">
        <f t="array" ref="D201">LEN(C201)-SUM((LEN(C201)-LEN(SUBSTITUTE(C201,修饰名称!$E$2:$E$93,修饰名称!$F$2:$F$93))))</f>
        <v>0</v>
      </c>
      <c r="E201" s="11"/>
      <c r="F201" s="11"/>
      <c r="G201" s="10"/>
      <c r="H201" s="11"/>
      <c r="I201" s="16"/>
      <c r="J201" s="16"/>
      <c r="K201" s="16"/>
    </row>
    <row r="202" ht="15.75" customHeight="1" spans="1:11">
      <c r="A202" s="131" t="s">
        <v>229</v>
      </c>
      <c r="B202" s="11"/>
      <c r="C202" s="135"/>
      <c r="D202" s="134">
        <f t="array" ref="D202">LEN(C202)-SUM((LEN(C202)-LEN(SUBSTITUTE(C202,修饰名称!$E$2:$E$93,修饰名称!$F$2:$F$93))))</f>
        <v>0</v>
      </c>
      <c r="E202" s="11"/>
      <c r="F202" s="11"/>
      <c r="G202" s="10"/>
      <c r="H202" s="11"/>
      <c r="I202" s="16"/>
      <c r="J202" s="16"/>
      <c r="K202" s="16"/>
    </row>
    <row r="203" ht="15.75" customHeight="1" spans="1:11">
      <c r="A203" s="131" t="s">
        <v>230</v>
      </c>
      <c r="B203" s="11"/>
      <c r="C203" s="135"/>
      <c r="D203" s="134">
        <f t="array" ref="D203">LEN(C203)-SUM((LEN(C203)-LEN(SUBSTITUTE(C203,修饰名称!$E$2:$E$93,修饰名称!$F$2:$F$93))))</f>
        <v>0</v>
      </c>
      <c r="E203" s="11"/>
      <c r="F203" s="11"/>
      <c r="G203" s="10"/>
      <c r="H203" s="11"/>
      <c r="I203" s="16"/>
      <c r="J203" s="16"/>
      <c r="K203" s="16"/>
    </row>
    <row r="204" ht="15.75" customHeight="1" spans="1:11">
      <c r="A204" s="131" t="s">
        <v>231</v>
      </c>
      <c r="B204" s="11"/>
      <c r="C204" s="135"/>
      <c r="D204" s="134">
        <f t="array" ref="D204">LEN(C204)-SUM((LEN(C204)-LEN(SUBSTITUTE(C204,修饰名称!$E$2:$E$93,修饰名称!$F$2:$F$93))))</f>
        <v>0</v>
      </c>
      <c r="E204" s="11"/>
      <c r="F204" s="11"/>
      <c r="G204" s="10"/>
      <c r="H204" s="11"/>
      <c r="I204" s="16"/>
      <c r="J204" s="16"/>
      <c r="K204" s="16"/>
    </row>
    <row r="205" ht="15.75" customHeight="1" spans="1:11">
      <c r="A205" s="131" t="s">
        <v>232</v>
      </c>
      <c r="B205" s="11"/>
      <c r="C205" s="135"/>
      <c r="D205" s="134">
        <f t="array" ref="D205">LEN(C205)-SUM((LEN(C205)-LEN(SUBSTITUTE(C205,修饰名称!$E$2:$E$93,修饰名称!$F$2:$F$93))))</f>
        <v>0</v>
      </c>
      <c r="E205" s="11"/>
      <c r="F205" s="11"/>
      <c r="G205" s="10"/>
      <c r="H205" s="11"/>
      <c r="I205" s="16"/>
      <c r="J205" s="16"/>
      <c r="K205" s="16"/>
    </row>
    <row r="206" ht="15.75" customHeight="1" spans="1:11">
      <c r="A206" s="131" t="s">
        <v>233</v>
      </c>
      <c r="B206" s="11"/>
      <c r="C206" s="135"/>
      <c r="D206" s="134">
        <f t="array" ref="D206">LEN(C206)-SUM((LEN(C206)-LEN(SUBSTITUTE(C206,修饰名称!$E$2:$E$93,修饰名称!$F$2:$F$93))))</f>
        <v>0</v>
      </c>
      <c r="E206" s="11"/>
      <c r="F206" s="11"/>
      <c r="G206" s="10"/>
      <c r="H206" s="11"/>
      <c r="I206" s="16"/>
      <c r="J206" s="16"/>
      <c r="K206" s="16"/>
    </row>
    <row r="207" ht="15.75" customHeight="1" spans="1:11">
      <c r="A207" s="131" t="s">
        <v>234</v>
      </c>
      <c r="B207" s="11"/>
      <c r="C207" s="135"/>
      <c r="D207" s="134">
        <f t="array" ref="D207">LEN(C207)-SUM((LEN(C207)-LEN(SUBSTITUTE(C207,修饰名称!$E$2:$E$93,修饰名称!$F$2:$F$93))))</f>
        <v>0</v>
      </c>
      <c r="E207" s="11"/>
      <c r="F207" s="11"/>
      <c r="G207" s="10"/>
      <c r="H207" s="11"/>
      <c r="I207" s="16"/>
      <c r="J207" s="16"/>
      <c r="K207" s="16"/>
    </row>
    <row r="208" ht="15.75" customHeight="1" spans="1:11">
      <c r="A208" s="131" t="s">
        <v>235</v>
      </c>
      <c r="B208" s="11"/>
      <c r="C208" s="135"/>
      <c r="D208" s="134">
        <f t="array" ref="D208">LEN(C208)-SUM((LEN(C208)-LEN(SUBSTITUTE(C208,修饰名称!$E$2:$E$93,修饰名称!$F$2:$F$93))))</f>
        <v>0</v>
      </c>
      <c r="E208" s="11"/>
      <c r="F208" s="11"/>
      <c r="G208" s="10"/>
      <c r="H208" s="11"/>
      <c r="I208" s="16"/>
      <c r="J208" s="16"/>
      <c r="K208" s="16"/>
    </row>
    <row r="209" ht="15.75" customHeight="1" spans="1:11">
      <c r="A209" s="131" t="s">
        <v>236</v>
      </c>
      <c r="B209" s="11"/>
      <c r="C209" s="135"/>
      <c r="D209" s="134">
        <f t="array" ref="D209">LEN(C209)-SUM((LEN(C209)-LEN(SUBSTITUTE(C209,修饰名称!$E$2:$E$93,修饰名称!$F$2:$F$93))))</f>
        <v>0</v>
      </c>
      <c r="E209" s="11"/>
      <c r="F209" s="11"/>
      <c r="G209" s="10"/>
      <c r="H209" s="11"/>
      <c r="I209" s="16"/>
      <c r="J209" s="16"/>
      <c r="K209" s="16"/>
    </row>
    <row r="210" ht="15.75" customHeight="1" spans="1:11">
      <c r="A210" s="131" t="s">
        <v>237</v>
      </c>
      <c r="B210" s="11"/>
      <c r="C210" s="135"/>
      <c r="D210" s="134">
        <f t="array" ref="D210">LEN(C210)-SUM((LEN(C210)-LEN(SUBSTITUTE(C210,修饰名称!$E$2:$E$93,修饰名称!$F$2:$F$93))))</f>
        <v>0</v>
      </c>
      <c r="E210" s="11"/>
      <c r="F210" s="11"/>
      <c r="G210" s="10"/>
      <c r="H210" s="11"/>
      <c r="I210" s="16"/>
      <c r="J210" s="16"/>
      <c r="K210" s="16"/>
    </row>
    <row r="211" ht="15.75" customHeight="1" spans="1:11">
      <c r="A211" s="131" t="s">
        <v>238</v>
      </c>
      <c r="B211" s="11"/>
      <c r="C211" s="135"/>
      <c r="D211" s="134">
        <f t="array" ref="D211">LEN(C211)-SUM((LEN(C211)-LEN(SUBSTITUTE(C211,修饰名称!$E$2:$E$93,修饰名称!$F$2:$F$93))))</f>
        <v>0</v>
      </c>
      <c r="E211" s="11"/>
      <c r="F211" s="11"/>
      <c r="G211" s="10"/>
      <c r="H211" s="11"/>
      <c r="I211" s="16"/>
      <c r="J211" s="16"/>
      <c r="K211" s="16"/>
    </row>
    <row r="212" ht="15.75" customHeight="1" spans="1:11">
      <c r="A212" s="131" t="s">
        <v>239</v>
      </c>
      <c r="B212" s="11"/>
      <c r="C212" s="135"/>
      <c r="D212" s="134">
        <f t="array" ref="D212">LEN(C212)-SUM((LEN(C212)-LEN(SUBSTITUTE(C212,修饰名称!$E$2:$E$93,修饰名称!$F$2:$F$93))))</f>
        <v>0</v>
      </c>
      <c r="E212" s="11"/>
      <c r="F212" s="11"/>
      <c r="G212" s="10"/>
      <c r="H212" s="11"/>
      <c r="I212" s="16"/>
      <c r="J212" s="16"/>
      <c r="K212" s="16"/>
    </row>
    <row r="213" ht="15.75" customHeight="1" spans="1:11">
      <c r="A213" s="131" t="s">
        <v>240</v>
      </c>
      <c r="B213" s="11"/>
      <c r="C213" s="135"/>
      <c r="D213" s="134">
        <f t="array" ref="D213">LEN(C213)-SUM((LEN(C213)-LEN(SUBSTITUTE(C213,修饰名称!$E$2:$E$93,修饰名称!$F$2:$F$93))))</f>
        <v>0</v>
      </c>
      <c r="E213" s="11"/>
      <c r="F213" s="11"/>
      <c r="G213" s="10"/>
      <c r="H213" s="11"/>
      <c r="I213" s="16"/>
      <c r="J213" s="16"/>
      <c r="K213" s="16"/>
    </row>
    <row r="214" ht="15.75" customHeight="1" spans="1:11">
      <c r="A214" s="131" t="s">
        <v>241</v>
      </c>
      <c r="B214" s="11"/>
      <c r="C214" s="135"/>
      <c r="D214" s="134">
        <f t="array" ref="D214">LEN(C214)-SUM((LEN(C214)-LEN(SUBSTITUTE(C214,修饰名称!$E$2:$E$93,修饰名称!$F$2:$F$93))))</f>
        <v>0</v>
      </c>
      <c r="E214" s="11"/>
      <c r="F214" s="11"/>
      <c r="G214" s="10"/>
      <c r="H214" s="11"/>
      <c r="I214" s="16"/>
      <c r="J214" s="16"/>
      <c r="K214" s="16"/>
    </row>
    <row r="215" ht="15.75" customHeight="1" spans="1:11">
      <c r="A215" s="131" t="s">
        <v>242</v>
      </c>
      <c r="B215" s="11"/>
      <c r="C215" s="135"/>
      <c r="D215" s="134">
        <f t="array" ref="D215">LEN(C215)-SUM((LEN(C215)-LEN(SUBSTITUTE(C215,修饰名称!$E$2:$E$93,修饰名称!$F$2:$F$93))))</f>
        <v>0</v>
      </c>
      <c r="E215" s="11"/>
      <c r="F215" s="11"/>
      <c r="G215" s="10"/>
      <c r="H215" s="11"/>
      <c r="I215" s="16"/>
      <c r="J215" s="16"/>
      <c r="K215" s="16"/>
    </row>
    <row r="216" ht="15.75" customHeight="1" spans="1:11">
      <c r="A216" s="131" t="s">
        <v>243</v>
      </c>
      <c r="B216" s="11"/>
      <c r="C216" s="135"/>
      <c r="D216" s="134">
        <f t="array" ref="D216">LEN(C216)-SUM((LEN(C216)-LEN(SUBSTITUTE(C216,修饰名称!$E$2:$E$93,修饰名称!$F$2:$F$93))))</f>
        <v>0</v>
      </c>
      <c r="E216" s="11"/>
      <c r="F216" s="11"/>
      <c r="G216" s="10"/>
      <c r="H216" s="11"/>
      <c r="I216" s="16"/>
      <c r="J216" s="16"/>
      <c r="K216" s="16"/>
    </row>
    <row r="217" ht="15.75" customHeight="1" spans="1:11">
      <c r="A217" s="131" t="s">
        <v>244</v>
      </c>
      <c r="B217" s="11"/>
      <c r="C217" s="135"/>
      <c r="D217" s="134">
        <f t="array" ref="D217">LEN(C217)-SUM((LEN(C217)-LEN(SUBSTITUTE(C217,修饰名称!$E$2:$E$93,修饰名称!$F$2:$F$93))))</f>
        <v>0</v>
      </c>
      <c r="E217" s="11"/>
      <c r="F217" s="11"/>
      <c r="G217" s="10"/>
      <c r="H217" s="11"/>
      <c r="I217" s="16"/>
      <c r="J217" s="16"/>
      <c r="K217" s="16"/>
    </row>
    <row r="218" ht="15.75" customHeight="1" spans="1:11">
      <c r="A218" s="131" t="s">
        <v>245</v>
      </c>
      <c r="B218" s="11"/>
      <c r="C218" s="135"/>
      <c r="D218" s="134">
        <f t="array" ref="D218">LEN(C218)-SUM((LEN(C218)-LEN(SUBSTITUTE(C218,修饰名称!$E$2:$E$93,修饰名称!$F$2:$F$93))))</f>
        <v>0</v>
      </c>
      <c r="E218" s="11"/>
      <c r="F218" s="11"/>
      <c r="G218" s="10"/>
      <c r="H218" s="11"/>
      <c r="I218" s="16"/>
      <c r="J218" s="16"/>
      <c r="K218" s="16"/>
    </row>
    <row r="219" ht="15.75" customHeight="1" spans="1:11">
      <c r="A219" s="131" t="s">
        <v>246</v>
      </c>
      <c r="B219" s="11"/>
      <c r="C219" s="135"/>
      <c r="D219" s="134">
        <f t="array" ref="D219">LEN(C219)-SUM((LEN(C219)-LEN(SUBSTITUTE(C219,修饰名称!$E$2:$E$93,修饰名称!$F$2:$F$93))))</f>
        <v>0</v>
      </c>
      <c r="E219" s="11"/>
      <c r="F219" s="11"/>
      <c r="G219" s="10"/>
      <c r="H219" s="11"/>
      <c r="I219" s="16"/>
      <c r="J219" s="16"/>
      <c r="K219" s="16"/>
    </row>
    <row r="220" ht="15.75" customHeight="1" spans="1:11">
      <c r="A220" s="131" t="s">
        <v>247</v>
      </c>
      <c r="B220" s="11"/>
      <c r="C220" s="135"/>
      <c r="D220" s="134">
        <f t="array" ref="D220">LEN(C220)-SUM((LEN(C220)-LEN(SUBSTITUTE(C220,修饰名称!$E$2:$E$93,修饰名称!$F$2:$F$93))))</f>
        <v>0</v>
      </c>
      <c r="E220" s="11"/>
      <c r="F220" s="11"/>
      <c r="G220" s="10"/>
      <c r="H220" s="11"/>
      <c r="I220" s="16"/>
      <c r="J220" s="16"/>
      <c r="K220" s="16"/>
    </row>
    <row r="221" ht="15.75" customHeight="1" spans="1:11">
      <c r="A221" s="131" t="s">
        <v>248</v>
      </c>
      <c r="B221" s="11"/>
      <c r="C221" s="135"/>
      <c r="D221" s="134">
        <f t="array" ref="D221">LEN(C221)-SUM((LEN(C221)-LEN(SUBSTITUTE(C221,修饰名称!$E$2:$E$93,修饰名称!$F$2:$F$93))))</f>
        <v>0</v>
      </c>
      <c r="E221" s="11"/>
      <c r="F221" s="11"/>
      <c r="G221" s="10"/>
      <c r="H221" s="11"/>
      <c r="I221" s="16"/>
      <c r="J221" s="16"/>
      <c r="K221" s="16"/>
    </row>
    <row r="222" ht="15.75" customHeight="1" spans="1:11">
      <c r="A222" s="131" t="s">
        <v>249</v>
      </c>
      <c r="B222" s="11"/>
      <c r="C222" s="135"/>
      <c r="D222" s="134">
        <f t="array" ref="D222">LEN(C222)-SUM((LEN(C222)-LEN(SUBSTITUTE(C222,修饰名称!$E$2:$E$93,修饰名称!$F$2:$F$93))))</f>
        <v>0</v>
      </c>
      <c r="E222" s="11"/>
      <c r="F222" s="11"/>
      <c r="G222" s="10"/>
      <c r="H222" s="11"/>
      <c r="I222" s="16"/>
      <c r="J222" s="16"/>
      <c r="K222" s="16"/>
    </row>
    <row r="223" ht="15.75" customHeight="1" spans="1:11">
      <c r="A223" s="131" t="s">
        <v>250</v>
      </c>
      <c r="B223" s="11"/>
      <c r="C223" s="135"/>
      <c r="D223" s="134">
        <f t="array" ref="D223">LEN(C223)-SUM((LEN(C223)-LEN(SUBSTITUTE(C223,修饰名称!$E$2:$E$93,修饰名称!$F$2:$F$93))))</f>
        <v>0</v>
      </c>
      <c r="E223" s="11"/>
      <c r="F223" s="11"/>
      <c r="G223" s="10"/>
      <c r="H223" s="11"/>
      <c r="I223" s="16"/>
      <c r="J223" s="16"/>
      <c r="K223" s="16"/>
    </row>
    <row r="224" ht="15.75" customHeight="1" spans="1:11">
      <c r="A224" s="131" t="s">
        <v>251</v>
      </c>
      <c r="B224" s="11"/>
      <c r="C224" s="135"/>
      <c r="D224" s="134">
        <f t="array" ref="D224">LEN(C224)-SUM((LEN(C224)-LEN(SUBSTITUTE(C224,修饰名称!$E$2:$E$93,修饰名称!$F$2:$F$93))))</f>
        <v>0</v>
      </c>
      <c r="E224" s="11"/>
      <c r="F224" s="11"/>
      <c r="G224" s="10"/>
      <c r="H224" s="11"/>
      <c r="I224" s="16"/>
      <c r="J224" s="16"/>
      <c r="K224" s="16"/>
    </row>
    <row r="225" ht="15.75" customHeight="1" spans="1:11">
      <c r="A225" s="131" t="s">
        <v>252</v>
      </c>
      <c r="B225" s="11"/>
      <c r="C225" s="135"/>
      <c r="D225" s="134">
        <f t="array" ref="D225">LEN(C225)-SUM((LEN(C225)-LEN(SUBSTITUTE(C225,修饰名称!$E$2:$E$93,修饰名称!$F$2:$F$93))))</f>
        <v>0</v>
      </c>
      <c r="E225" s="11"/>
      <c r="F225" s="11"/>
      <c r="G225" s="10"/>
      <c r="H225" s="11"/>
      <c r="I225" s="16"/>
      <c r="J225" s="16"/>
      <c r="K225" s="16"/>
    </row>
    <row r="226" ht="15.75" customHeight="1" spans="1:11">
      <c r="A226" s="131" t="s">
        <v>253</v>
      </c>
      <c r="B226" s="11"/>
      <c r="C226" s="135"/>
      <c r="D226" s="134">
        <f t="array" ref="D226">LEN(C226)-SUM((LEN(C226)-LEN(SUBSTITUTE(C226,修饰名称!$E$2:$E$93,修饰名称!$F$2:$F$93))))</f>
        <v>0</v>
      </c>
      <c r="E226" s="11"/>
      <c r="F226" s="11"/>
      <c r="G226" s="10"/>
      <c r="H226" s="11"/>
      <c r="I226" s="16"/>
      <c r="J226" s="16"/>
      <c r="K226" s="16"/>
    </row>
    <row r="227" ht="15.75" customHeight="1" spans="1:11">
      <c r="A227" s="131" t="s">
        <v>254</v>
      </c>
      <c r="B227" s="11"/>
      <c r="C227" s="135"/>
      <c r="D227" s="134">
        <f t="array" ref="D227">LEN(C227)-SUM((LEN(C227)-LEN(SUBSTITUTE(C227,修饰名称!$E$2:$E$93,修饰名称!$F$2:$F$93))))</f>
        <v>0</v>
      </c>
      <c r="E227" s="11"/>
      <c r="F227" s="11"/>
      <c r="G227" s="10"/>
      <c r="H227" s="11"/>
      <c r="I227" s="16"/>
      <c r="J227" s="16"/>
      <c r="K227" s="16"/>
    </row>
    <row r="228" ht="15.75" customHeight="1" spans="1:11">
      <c r="A228" s="131" t="s">
        <v>255</v>
      </c>
      <c r="B228" s="11"/>
      <c r="C228" s="135"/>
      <c r="D228" s="134">
        <f t="array" ref="D228">LEN(C228)-SUM((LEN(C228)-LEN(SUBSTITUTE(C228,修饰名称!$E$2:$E$93,修饰名称!$F$2:$F$93))))</f>
        <v>0</v>
      </c>
      <c r="E228" s="11"/>
      <c r="F228" s="11"/>
      <c r="G228" s="10"/>
      <c r="H228" s="11"/>
      <c r="I228" s="16"/>
      <c r="J228" s="16"/>
      <c r="K228" s="16"/>
    </row>
    <row r="229" ht="15.75" customHeight="1" spans="1:11">
      <c r="A229" s="131" t="s">
        <v>256</v>
      </c>
      <c r="B229" s="11"/>
      <c r="C229" s="135"/>
      <c r="D229" s="134">
        <f t="array" ref="D229">LEN(C229)-SUM((LEN(C229)-LEN(SUBSTITUTE(C229,修饰名称!$E$2:$E$93,修饰名称!$F$2:$F$93))))</f>
        <v>0</v>
      </c>
      <c r="E229" s="11"/>
      <c r="F229" s="11"/>
      <c r="G229" s="10"/>
      <c r="H229" s="11"/>
      <c r="I229" s="16"/>
      <c r="J229" s="16"/>
      <c r="K229" s="16"/>
    </row>
    <row r="230" ht="15.75" customHeight="1" spans="1:11">
      <c r="A230" s="131" t="s">
        <v>257</v>
      </c>
      <c r="B230" s="11"/>
      <c r="C230" s="135"/>
      <c r="D230" s="134">
        <f t="array" ref="D230">LEN(C230)-SUM((LEN(C230)-LEN(SUBSTITUTE(C230,修饰名称!$E$2:$E$93,修饰名称!$F$2:$F$93))))</f>
        <v>0</v>
      </c>
      <c r="E230" s="11"/>
      <c r="F230" s="11"/>
      <c r="G230" s="10"/>
      <c r="H230" s="11"/>
      <c r="I230" s="16"/>
      <c r="J230" s="16"/>
      <c r="K230" s="16"/>
    </row>
    <row r="231" ht="15.75" customHeight="1" spans="1:11">
      <c r="A231" s="131" t="s">
        <v>258</v>
      </c>
      <c r="B231" s="11"/>
      <c r="C231" s="135"/>
      <c r="D231" s="134">
        <f t="array" ref="D231">LEN(C231)-SUM((LEN(C231)-LEN(SUBSTITUTE(C231,修饰名称!$E$2:$E$93,修饰名称!$F$2:$F$93))))</f>
        <v>0</v>
      </c>
      <c r="E231" s="11"/>
      <c r="F231" s="11"/>
      <c r="G231" s="10"/>
      <c r="H231" s="11"/>
      <c r="I231" s="16"/>
      <c r="J231" s="16"/>
      <c r="K231" s="16"/>
    </row>
    <row r="232" ht="15.75" customHeight="1" spans="1:11">
      <c r="A232" s="131" t="s">
        <v>259</v>
      </c>
      <c r="B232" s="11"/>
      <c r="C232" s="135"/>
      <c r="D232" s="134">
        <f t="array" ref="D232">LEN(C232)-SUM((LEN(C232)-LEN(SUBSTITUTE(C232,修饰名称!$E$2:$E$93,修饰名称!$F$2:$F$93))))</f>
        <v>0</v>
      </c>
      <c r="E232" s="11"/>
      <c r="F232" s="11"/>
      <c r="G232" s="10"/>
      <c r="H232" s="11"/>
      <c r="I232" s="16"/>
      <c r="J232" s="16"/>
      <c r="K232" s="16"/>
    </row>
    <row r="233" ht="15.75" customHeight="1" spans="1:11">
      <c r="A233" s="131" t="s">
        <v>260</v>
      </c>
      <c r="B233" s="11"/>
      <c r="C233" s="135"/>
      <c r="D233" s="134">
        <f t="array" ref="D233">LEN(C233)-SUM((LEN(C233)-LEN(SUBSTITUTE(C233,修饰名称!$E$2:$E$93,修饰名称!$F$2:$F$93))))</f>
        <v>0</v>
      </c>
      <c r="E233" s="11"/>
      <c r="F233" s="11"/>
      <c r="G233" s="10"/>
      <c r="H233" s="11"/>
      <c r="I233" s="16"/>
      <c r="J233" s="16"/>
      <c r="K233" s="16"/>
    </row>
    <row r="234" ht="15.75" customHeight="1" spans="1:11">
      <c r="A234" s="131" t="s">
        <v>261</v>
      </c>
      <c r="B234" s="11"/>
      <c r="C234" s="135"/>
      <c r="D234" s="134">
        <f t="array" ref="D234">LEN(C234)-SUM((LEN(C234)-LEN(SUBSTITUTE(C234,修饰名称!$E$2:$E$93,修饰名称!$F$2:$F$93))))</f>
        <v>0</v>
      </c>
      <c r="E234" s="11"/>
      <c r="F234" s="11"/>
      <c r="G234" s="10"/>
      <c r="H234" s="11"/>
      <c r="I234" s="16"/>
      <c r="J234" s="16"/>
      <c r="K234" s="16"/>
    </row>
    <row r="235" ht="15.75" customHeight="1" spans="1:11">
      <c r="A235" s="131" t="s">
        <v>262</v>
      </c>
      <c r="B235" s="11"/>
      <c r="C235" s="135"/>
      <c r="D235" s="134">
        <f t="array" ref="D235">LEN(C235)-SUM((LEN(C235)-LEN(SUBSTITUTE(C235,修饰名称!$E$2:$E$93,修饰名称!$F$2:$F$93))))</f>
        <v>0</v>
      </c>
      <c r="E235" s="11"/>
      <c r="F235" s="11"/>
      <c r="G235" s="10"/>
      <c r="H235" s="11"/>
      <c r="I235" s="16"/>
      <c r="J235" s="16"/>
      <c r="K235" s="16"/>
    </row>
    <row r="236" ht="15.75" customHeight="1" spans="1:11">
      <c r="A236" s="131" t="s">
        <v>263</v>
      </c>
      <c r="B236" s="11"/>
      <c r="C236" s="135"/>
      <c r="D236" s="134">
        <f t="array" ref="D236">LEN(C236)-SUM((LEN(C236)-LEN(SUBSTITUTE(C236,修饰名称!$E$2:$E$93,修饰名称!$F$2:$F$93))))</f>
        <v>0</v>
      </c>
      <c r="E236" s="11"/>
      <c r="F236" s="11"/>
      <c r="G236" s="10"/>
      <c r="H236" s="11"/>
      <c r="I236" s="16"/>
      <c r="J236" s="16"/>
      <c r="K236" s="16"/>
    </row>
    <row r="237" ht="15.75" customHeight="1" spans="1:11">
      <c r="A237" s="131" t="s">
        <v>264</v>
      </c>
      <c r="B237" s="11"/>
      <c r="C237" s="135"/>
      <c r="D237" s="134">
        <f t="array" ref="D237">LEN(C237)-SUM((LEN(C237)-LEN(SUBSTITUTE(C237,修饰名称!$E$2:$E$93,修饰名称!$F$2:$F$93))))</f>
        <v>0</v>
      </c>
      <c r="E237" s="11"/>
      <c r="F237" s="11"/>
      <c r="G237" s="10"/>
      <c r="H237" s="11"/>
      <c r="I237" s="16"/>
      <c r="J237" s="16"/>
      <c r="K237" s="16"/>
    </row>
    <row r="238" ht="15.75" customHeight="1" spans="1:11">
      <c r="A238" s="131" t="s">
        <v>265</v>
      </c>
      <c r="B238" s="11"/>
      <c r="C238" s="135"/>
      <c r="D238" s="134">
        <f t="array" ref="D238">LEN(C238)-SUM((LEN(C238)-LEN(SUBSTITUTE(C238,修饰名称!$E$2:$E$93,修饰名称!$F$2:$F$93))))</f>
        <v>0</v>
      </c>
      <c r="E238" s="11"/>
      <c r="F238" s="11"/>
      <c r="G238" s="10"/>
      <c r="H238" s="11"/>
      <c r="I238" s="16"/>
      <c r="J238" s="16"/>
      <c r="K238" s="16"/>
    </row>
    <row r="239" ht="15.75" customHeight="1" spans="1:11">
      <c r="A239" s="131" t="s">
        <v>266</v>
      </c>
      <c r="B239" s="11"/>
      <c r="C239" s="135"/>
      <c r="D239" s="134">
        <f t="array" ref="D239">LEN(C239)-SUM((LEN(C239)-LEN(SUBSTITUTE(C239,修饰名称!$E$2:$E$93,修饰名称!$F$2:$F$93))))</f>
        <v>0</v>
      </c>
      <c r="E239" s="11"/>
      <c r="F239" s="11"/>
      <c r="G239" s="10"/>
      <c r="H239" s="11"/>
      <c r="I239" s="16"/>
      <c r="J239" s="16"/>
      <c r="K239" s="16"/>
    </row>
    <row r="240" ht="15.75" customHeight="1" spans="1:11">
      <c r="A240" s="131" t="s">
        <v>267</v>
      </c>
      <c r="B240" s="11"/>
      <c r="C240" s="135"/>
      <c r="D240" s="134">
        <f t="array" ref="D240">LEN(C240)-SUM((LEN(C240)-LEN(SUBSTITUTE(C240,修饰名称!$E$2:$E$93,修饰名称!$F$2:$F$93))))</f>
        <v>0</v>
      </c>
      <c r="E240" s="11"/>
      <c r="F240" s="11"/>
      <c r="G240" s="10"/>
      <c r="H240" s="11"/>
      <c r="I240" s="16"/>
      <c r="J240" s="16"/>
      <c r="K240" s="16"/>
    </row>
    <row r="241" ht="15.75" customHeight="1" spans="1:11">
      <c r="A241" s="131" t="s">
        <v>268</v>
      </c>
      <c r="B241" s="11"/>
      <c r="C241" s="135"/>
      <c r="D241" s="134">
        <f t="array" ref="D241">LEN(C241)-SUM((LEN(C241)-LEN(SUBSTITUTE(C241,修饰名称!$E$2:$E$93,修饰名称!$F$2:$F$93))))</f>
        <v>0</v>
      </c>
      <c r="E241" s="11"/>
      <c r="F241" s="11"/>
      <c r="G241" s="10"/>
      <c r="H241" s="11"/>
      <c r="I241" s="16"/>
      <c r="J241" s="16"/>
      <c r="K241" s="16"/>
    </row>
    <row r="242" ht="15.75" customHeight="1" spans="1:11">
      <c r="A242" s="131" t="s">
        <v>269</v>
      </c>
      <c r="B242" s="11"/>
      <c r="C242" s="135"/>
      <c r="D242" s="134">
        <f t="array" ref="D242">LEN(C242)-SUM((LEN(C242)-LEN(SUBSTITUTE(C242,修饰名称!$E$2:$E$93,修饰名称!$F$2:$F$93))))</f>
        <v>0</v>
      </c>
      <c r="E242" s="11"/>
      <c r="F242" s="11"/>
      <c r="G242" s="10"/>
      <c r="H242" s="11"/>
      <c r="I242" s="16"/>
      <c r="J242" s="16"/>
      <c r="K242" s="16"/>
    </row>
    <row r="243" ht="15.75" customHeight="1" spans="1:11">
      <c r="A243" s="131" t="s">
        <v>270</v>
      </c>
      <c r="B243" s="11"/>
      <c r="C243" s="135"/>
      <c r="D243" s="134">
        <f t="array" ref="D243">LEN(C243)-SUM((LEN(C243)-LEN(SUBSTITUTE(C243,修饰名称!$E$2:$E$93,修饰名称!$F$2:$F$93))))</f>
        <v>0</v>
      </c>
      <c r="E243" s="11"/>
      <c r="F243" s="11"/>
      <c r="G243" s="10"/>
      <c r="H243" s="11"/>
      <c r="I243" s="16"/>
      <c r="J243" s="16"/>
      <c r="K243" s="16"/>
    </row>
    <row r="244" ht="15.75" customHeight="1" spans="1:11">
      <c r="A244" s="131" t="s">
        <v>271</v>
      </c>
      <c r="B244" s="11"/>
      <c r="C244" s="135"/>
      <c r="D244" s="134">
        <f t="array" ref="D244">LEN(C244)-SUM((LEN(C244)-LEN(SUBSTITUTE(C244,修饰名称!$E$2:$E$93,修饰名称!$F$2:$F$93))))</f>
        <v>0</v>
      </c>
      <c r="E244" s="11"/>
      <c r="F244" s="11"/>
      <c r="G244" s="10"/>
      <c r="H244" s="11"/>
      <c r="I244" s="16"/>
      <c r="J244" s="16"/>
      <c r="K244" s="16"/>
    </row>
    <row r="245" ht="15.75" customHeight="1" spans="1:11">
      <c r="A245" s="131" t="s">
        <v>272</v>
      </c>
      <c r="B245" s="11"/>
      <c r="C245" s="135"/>
      <c r="D245" s="134">
        <f t="array" ref="D245">LEN(C245)-SUM((LEN(C245)-LEN(SUBSTITUTE(C245,修饰名称!$E$2:$E$93,修饰名称!$F$2:$F$93))))</f>
        <v>0</v>
      </c>
      <c r="E245" s="11"/>
      <c r="F245" s="11"/>
      <c r="G245" s="10"/>
      <c r="H245" s="11"/>
      <c r="I245" s="16"/>
      <c r="J245" s="16"/>
      <c r="K245" s="16"/>
    </row>
    <row r="246" ht="15.75" customHeight="1" spans="1:11">
      <c r="A246" s="131" t="s">
        <v>273</v>
      </c>
      <c r="B246" s="11"/>
      <c r="C246" s="135"/>
      <c r="D246" s="134">
        <f t="array" ref="D246">LEN(C246)-SUM((LEN(C246)-LEN(SUBSTITUTE(C246,修饰名称!$E$2:$E$93,修饰名称!$F$2:$F$93))))</f>
        <v>0</v>
      </c>
      <c r="E246" s="11"/>
      <c r="F246" s="11"/>
      <c r="G246" s="10"/>
      <c r="H246" s="11"/>
      <c r="I246" s="16"/>
      <c r="J246" s="16"/>
      <c r="K246" s="16"/>
    </row>
    <row r="247" ht="15.75" customHeight="1" spans="1:11">
      <c r="A247" s="131" t="s">
        <v>274</v>
      </c>
      <c r="B247" s="11"/>
      <c r="C247" s="135"/>
      <c r="D247" s="134">
        <f t="array" ref="D247">LEN(C247)-SUM((LEN(C247)-LEN(SUBSTITUTE(C247,修饰名称!$E$2:$E$93,修饰名称!$F$2:$F$93))))</f>
        <v>0</v>
      </c>
      <c r="E247" s="11"/>
      <c r="F247" s="11"/>
      <c r="G247" s="10"/>
      <c r="H247" s="11"/>
      <c r="I247" s="16"/>
      <c r="J247" s="16"/>
      <c r="K247" s="16"/>
    </row>
    <row r="248" ht="15.75" customHeight="1" spans="1:11">
      <c r="A248" s="131" t="s">
        <v>275</v>
      </c>
      <c r="B248" s="11"/>
      <c r="C248" s="135"/>
      <c r="D248" s="134">
        <f t="array" ref="D248">LEN(C248)-SUM((LEN(C248)-LEN(SUBSTITUTE(C248,修饰名称!$E$2:$E$93,修饰名称!$F$2:$F$93))))</f>
        <v>0</v>
      </c>
      <c r="E248" s="11"/>
      <c r="F248" s="11"/>
      <c r="G248" s="10"/>
      <c r="H248" s="11"/>
      <c r="I248" s="16"/>
      <c r="J248" s="16"/>
      <c r="K248" s="16"/>
    </row>
    <row r="249" ht="15.75" customHeight="1" spans="1:11">
      <c r="A249" s="131" t="s">
        <v>276</v>
      </c>
      <c r="B249" s="11"/>
      <c r="C249" s="135"/>
      <c r="D249" s="134">
        <f t="array" ref="D249">LEN(C249)-SUM((LEN(C249)-LEN(SUBSTITUTE(C249,修饰名称!$E$2:$E$93,修饰名称!$F$2:$F$93))))</f>
        <v>0</v>
      </c>
      <c r="E249" s="11"/>
      <c r="F249" s="11"/>
      <c r="G249" s="10"/>
      <c r="H249" s="11"/>
      <c r="I249" s="16"/>
      <c r="J249" s="16"/>
      <c r="K249" s="16"/>
    </row>
    <row r="250" ht="15.75" customHeight="1" spans="1:11">
      <c r="A250" s="131" t="s">
        <v>277</v>
      </c>
      <c r="B250" s="11"/>
      <c r="C250" s="135"/>
      <c r="D250" s="134">
        <f t="array" ref="D250">LEN(C250)-SUM((LEN(C250)-LEN(SUBSTITUTE(C250,修饰名称!$E$2:$E$93,修饰名称!$F$2:$F$93))))</f>
        <v>0</v>
      </c>
      <c r="E250" s="11"/>
      <c r="F250" s="11"/>
      <c r="G250" s="10"/>
      <c r="H250" s="11"/>
      <c r="I250" s="16"/>
      <c r="J250" s="16"/>
      <c r="K250" s="16"/>
    </row>
    <row r="251" ht="15.75" customHeight="1" spans="1:11">
      <c r="A251" s="131" t="s">
        <v>278</v>
      </c>
      <c r="B251" s="11"/>
      <c r="C251" s="135"/>
      <c r="D251" s="134">
        <f t="array" ref="D251">LEN(C251)-SUM((LEN(C251)-LEN(SUBSTITUTE(C251,修饰名称!$E$2:$E$93,修饰名称!$F$2:$F$93))))</f>
        <v>0</v>
      </c>
      <c r="E251" s="11"/>
      <c r="F251" s="11"/>
      <c r="G251" s="10"/>
      <c r="H251" s="11"/>
      <c r="I251" s="16"/>
      <c r="J251" s="16"/>
      <c r="K251" s="16"/>
    </row>
    <row r="252" ht="15.75" customHeight="1" spans="1:11">
      <c r="A252" s="131" t="s">
        <v>279</v>
      </c>
      <c r="B252" s="11"/>
      <c r="C252" s="135"/>
      <c r="D252" s="134">
        <f t="array" ref="D252">LEN(C252)-SUM((LEN(C252)-LEN(SUBSTITUTE(C252,修饰名称!$E$2:$E$93,修饰名称!$F$2:$F$93))))</f>
        <v>0</v>
      </c>
      <c r="E252" s="11"/>
      <c r="F252" s="11"/>
      <c r="G252" s="10"/>
      <c r="H252" s="11"/>
      <c r="I252" s="16"/>
      <c r="J252" s="16"/>
      <c r="K252" s="16"/>
    </row>
    <row r="253" ht="15.75" customHeight="1" spans="1:11">
      <c r="A253" s="131" t="s">
        <v>280</v>
      </c>
      <c r="B253" s="11"/>
      <c r="C253" s="135"/>
      <c r="D253" s="134">
        <f t="array" ref="D253">LEN(C253)-SUM((LEN(C253)-LEN(SUBSTITUTE(C253,修饰名称!$E$2:$E$93,修饰名称!$F$2:$F$93))))</f>
        <v>0</v>
      </c>
      <c r="E253" s="11"/>
      <c r="F253" s="11"/>
      <c r="G253" s="10"/>
      <c r="H253" s="11"/>
      <c r="I253" s="16"/>
      <c r="J253" s="16"/>
      <c r="K253" s="16"/>
    </row>
    <row r="254" ht="15.75" customHeight="1" spans="1:11">
      <c r="A254" s="131" t="s">
        <v>281</v>
      </c>
      <c r="B254" s="11"/>
      <c r="C254" s="135"/>
      <c r="D254" s="134">
        <f t="array" ref="D254">LEN(C254)-SUM((LEN(C254)-LEN(SUBSTITUTE(C254,修饰名称!$E$2:$E$93,修饰名称!$F$2:$F$93))))</f>
        <v>0</v>
      </c>
      <c r="E254" s="11"/>
      <c r="F254" s="11"/>
      <c r="G254" s="10"/>
      <c r="H254" s="11"/>
      <c r="I254" s="16"/>
      <c r="J254" s="16"/>
      <c r="K254" s="16"/>
    </row>
    <row r="255" ht="15.75" customHeight="1" spans="1:11">
      <c r="A255" s="131" t="s">
        <v>282</v>
      </c>
      <c r="B255" s="11"/>
      <c r="C255" s="135"/>
      <c r="D255" s="134">
        <f t="array" ref="D255">LEN(C255)-SUM((LEN(C255)-LEN(SUBSTITUTE(C255,修饰名称!$E$2:$E$93,修饰名称!$F$2:$F$93))))</f>
        <v>0</v>
      </c>
      <c r="E255" s="11"/>
      <c r="F255" s="11"/>
      <c r="G255" s="10"/>
      <c r="H255" s="11"/>
      <c r="I255" s="16"/>
      <c r="J255" s="16"/>
      <c r="K255" s="16"/>
    </row>
    <row r="256" ht="15.75" customHeight="1" spans="1:11">
      <c r="A256" s="131" t="s">
        <v>283</v>
      </c>
      <c r="B256" s="11"/>
      <c r="C256" s="135"/>
      <c r="D256" s="134">
        <f t="array" ref="D256">LEN(C256)-SUM((LEN(C256)-LEN(SUBSTITUTE(C256,修饰名称!$E$2:$E$93,修饰名称!$F$2:$F$93))))</f>
        <v>0</v>
      </c>
      <c r="E256" s="11"/>
      <c r="F256" s="11"/>
      <c r="G256" s="10"/>
      <c r="H256" s="11"/>
      <c r="I256" s="16"/>
      <c r="J256" s="16"/>
      <c r="K256" s="16"/>
    </row>
    <row r="257" ht="15.75" customHeight="1" spans="1:11">
      <c r="A257" s="131" t="s">
        <v>284</v>
      </c>
      <c r="B257" s="11"/>
      <c r="C257" s="135"/>
      <c r="D257" s="134">
        <f t="array" ref="D257">LEN(C257)-SUM((LEN(C257)-LEN(SUBSTITUTE(C257,修饰名称!$E$2:$E$93,修饰名称!$F$2:$F$93))))</f>
        <v>0</v>
      </c>
      <c r="E257" s="11"/>
      <c r="F257" s="11"/>
      <c r="G257" s="10"/>
      <c r="H257" s="11"/>
      <c r="I257" s="16"/>
      <c r="J257" s="16"/>
      <c r="K257" s="16"/>
    </row>
    <row r="258" ht="15.75" customHeight="1" spans="1:11">
      <c r="A258" s="131" t="s">
        <v>285</v>
      </c>
      <c r="B258" s="11"/>
      <c r="C258" s="135"/>
      <c r="D258" s="134">
        <f t="array" ref="D258">LEN(C258)-SUM((LEN(C258)-LEN(SUBSTITUTE(C258,修饰名称!$E$2:$E$93,修饰名称!$F$2:$F$93))))</f>
        <v>0</v>
      </c>
      <c r="E258" s="11"/>
      <c r="F258" s="11"/>
      <c r="G258" s="10"/>
      <c r="H258" s="11"/>
      <c r="I258" s="16"/>
      <c r="J258" s="16"/>
      <c r="K258" s="16"/>
    </row>
    <row r="259" ht="15.75" customHeight="1" spans="1:11">
      <c r="A259" s="131" t="s">
        <v>286</v>
      </c>
      <c r="B259" s="11"/>
      <c r="C259" s="135"/>
      <c r="D259" s="134">
        <f t="array" ref="D259">LEN(C259)-SUM((LEN(C259)-LEN(SUBSTITUTE(C259,修饰名称!$E$2:$E$93,修饰名称!$F$2:$F$93))))</f>
        <v>0</v>
      </c>
      <c r="E259" s="11"/>
      <c r="F259" s="11"/>
      <c r="G259" s="10"/>
      <c r="H259" s="11"/>
      <c r="I259" s="16"/>
      <c r="J259" s="16"/>
      <c r="K259" s="16"/>
    </row>
    <row r="260" ht="15.75" customHeight="1" spans="1:11">
      <c r="A260" s="131" t="s">
        <v>287</v>
      </c>
      <c r="B260" s="11"/>
      <c r="C260" s="135"/>
      <c r="D260" s="134">
        <f t="array" ref="D260">LEN(C260)-SUM((LEN(C260)-LEN(SUBSTITUTE(C260,修饰名称!$E$2:$E$93,修饰名称!$F$2:$F$93))))</f>
        <v>0</v>
      </c>
      <c r="E260" s="11"/>
      <c r="F260" s="11"/>
      <c r="G260" s="10"/>
      <c r="H260" s="11"/>
      <c r="I260" s="16"/>
      <c r="J260" s="16"/>
      <c r="K260" s="16"/>
    </row>
    <row r="261" ht="15.75" customHeight="1" spans="1:11">
      <c r="A261" s="131" t="s">
        <v>288</v>
      </c>
      <c r="B261" s="11"/>
      <c r="C261" s="135"/>
      <c r="D261" s="134">
        <f t="array" ref="D261">LEN(C261)-SUM((LEN(C261)-LEN(SUBSTITUTE(C261,修饰名称!$E$2:$E$93,修饰名称!$F$2:$F$93))))</f>
        <v>0</v>
      </c>
      <c r="E261" s="11"/>
      <c r="F261" s="11"/>
      <c r="G261" s="10"/>
      <c r="H261" s="11"/>
      <c r="I261" s="16"/>
      <c r="J261" s="16"/>
      <c r="K261" s="16"/>
    </row>
    <row r="262" ht="15.75" customHeight="1" spans="1:11">
      <c r="A262" s="131" t="s">
        <v>289</v>
      </c>
      <c r="B262" s="11"/>
      <c r="C262" s="135"/>
      <c r="D262" s="134">
        <f t="array" ref="D262">LEN(C262)-SUM((LEN(C262)-LEN(SUBSTITUTE(C262,修饰名称!$E$2:$E$93,修饰名称!$F$2:$F$93))))</f>
        <v>0</v>
      </c>
      <c r="E262" s="11"/>
      <c r="F262" s="11"/>
      <c r="G262" s="10"/>
      <c r="H262" s="11"/>
      <c r="I262" s="16"/>
      <c r="J262" s="16"/>
      <c r="K262" s="16"/>
    </row>
    <row r="263" ht="15.75" customHeight="1" spans="1:11">
      <c r="A263" s="131" t="s">
        <v>290</v>
      </c>
      <c r="B263" s="11"/>
      <c r="C263" s="135"/>
      <c r="D263" s="134">
        <f t="array" ref="D263">LEN(C263)-SUM((LEN(C263)-LEN(SUBSTITUTE(C263,修饰名称!$E$2:$E$93,修饰名称!$F$2:$F$93))))</f>
        <v>0</v>
      </c>
      <c r="E263" s="11"/>
      <c r="F263" s="11"/>
      <c r="G263" s="10"/>
      <c r="H263" s="11"/>
      <c r="I263" s="16"/>
      <c r="J263" s="16"/>
      <c r="K263" s="16"/>
    </row>
    <row r="264" ht="15.75" customHeight="1" spans="1:11">
      <c r="A264" s="131" t="s">
        <v>291</v>
      </c>
      <c r="B264" s="11"/>
      <c r="C264" s="135"/>
      <c r="D264" s="134">
        <f t="array" ref="D264">LEN(C264)-SUM((LEN(C264)-LEN(SUBSTITUTE(C264,修饰名称!$E$2:$E$93,修饰名称!$F$2:$F$93))))</f>
        <v>0</v>
      </c>
      <c r="E264" s="11"/>
      <c r="F264" s="11"/>
      <c r="G264" s="10"/>
      <c r="H264" s="11"/>
      <c r="I264" s="16"/>
      <c r="J264" s="16"/>
      <c r="K264" s="16"/>
    </row>
    <row r="265" ht="15.75" customHeight="1" spans="1:11">
      <c r="A265" s="131" t="s">
        <v>292</v>
      </c>
      <c r="B265" s="11"/>
      <c r="C265" s="135"/>
      <c r="D265" s="134">
        <f t="array" ref="D265">LEN(C265)-SUM((LEN(C265)-LEN(SUBSTITUTE(C265,修饰名称!$E$2:$E$93,修饰名称!$F$2:$F$93))))</f>
        <v>0</v>
      </c>
      <c r="E265" s="11"/>
      <c r="F265" s="11"/>
      <c r="G265" s="10"/>
      <c r="H265" s="11"/>
      <c r="I265" s="16"/>
      <c r="J265" s="16"/>
      <c r="K265" s="16"/>
    </row>
    <row r="266" ht="15.75" customHeight="1" spans="1:11">
      <c r="A266" s="131" t="s">
        <v>293</v>
      </c>
      <c r="B266" s="11"/>
      <c r="C266" s="135"/>
      <c r="D266" s="134">
        <f t="array" ref="D266">LEN(C266)-SUM((LEN(C266)-LEN(SUBSTITUTE(C266,修饰名称!$E$2:$E$93,修饰名称!$F$2:$F$93))))</f>
        <v>0</v>
      </c>
      <c r="E266" s="11"/>
      <c r="F266" s="11"/>
      <c r="G266" s="10"/>
      <c r="H266" s="11"/>
      <c r="I266" s="16"/>
      <c r="J266" s="16"/>
      <c r="K266" s="16"/>
    </row>
    <row r="267" ht="15.75" customHeight="1" spans="1:11">
      <c r="A267" s="131" t="s">
        <v>294</v>
      </c>
      <c r="B267" s="11"/>
      <c r="C267" s="135"/>
      <c r="D267" s="134">
        <f t="array" ref="D267">LEN(C267)-SUM((LEN(C267)-LEN(SUBSTITUTE(C267,修饰名称!$E$2:$E$93,修饰名称!$F$2:$F$93))))</f>
        <v>0</v>
      </c>
      <c r="E267" s="11"/>
      <c r="F267" s="11"/>
      <c r="G267" s="10"/>
      <c r="H267" s="11"/>
      <c r="I267" s="16"/>
      <c r="J267" s="16"/>
      <c r="K267" s="16"/>
    </row>
    <row r="268" ht="15.75" customHeight="1" spans="1:11">
      <c r="A268" s="131" t="s">
        <v>295</v>
      </c>
      <c r="B268" s="11"/>
      <c r="C268" s="135"/>
      <c r="D268" s="134">
        <f t="array" ref="D268">LEN(C268)-SUM((LEN(C268)-LEN(SUBSTITUTE(C268,修饰名称!$E$2:$E$93,修饰名称!$F$2:$F$93))))</f>
        <v>0</v>
      </c>
      <c r="E268" s="11"/>
      <c r="F268" s="11"/>
      <c r="G268" s="10"/>
      <c r="H268" s="11"/>
      <c r="I268" s="16"/>
      <c r="J268" s="16"/>
      <c r="K268" s="16"/>
    </row>
    <row r="269" ht="15.75" customHeight="1" spans="1:11">
      <c r="A269" s="131" t="s">
        <v>296</v>
      </c>
      <c r="B269" s="11"/>
      <c r="C269" s="135"/>
      <c r="D269" s="134">
        <f t="array" ref="D269">LEN(C269)-SUM((LEN(C269)-LEN(SUBSTITUTE(C269,修饰名称!$E$2:$E$93,修饰名称!$F$2:$F$93))))</f>
        <v>0</v>
      </c>
      <c r="E269" s="11"/>
      <c r="F269" s="11"/>
      <c r="G269" s="10"/>
      <c r="H269" s="11"/>
      <c r="I269" s="16"/>
      <c r="J269" s="16"/>
      <c r="K269" s="16"/>
    </row>
    <row r="270" ht="15.75" customHeight="1" spans="1:11">
      <c r="A270" s="131" t="s">
        <v>297</v>
      </c>
      <c r="B270" s="11"/>
      <c r="C270" s="135"/>
      <c r="D270" s="134">
        <f t="array" ref="D270">LEN(C270)-SUM((LEN(C270)-LEN(SUBSTITUTE(C270,修饰名称!$E$2:$E$93,修饰名称!$F$2:$F$93))))</f>
        <v>0</v>
      </c>
      <c r="E270" s="11"/>
      <c r="F270" s="11"/>
      <c r="G270" s="10"/>
      <c r="H270" s="11"/>
      <c r="I270" s="16"/>
      <c r="J270" s="16"/>
      <c r="K270" s="16"/>
    </row>
    <row r="271" ht="15.75" customHeight="1" spans="1:11">
      <c r="A271" s="131" t="s">
        <v>298</v>
      </c>
      <c r="B271" s="11"/>
      <c r="C271" s="135"/>
      <c r="D271" s="134">
        <f t="array" ref="D271">LEN(C271)-SUM((LEN(C271)-LEN(SUBSTITUTE(C271,修饰名称!$E$2:$E$93,修饰名称!$F$2:$F$93))))</f>
        <v>0</v>
      </c>
      <c r="E271" s="11"/>
      <c r="F271" s="11"/>
      <c r="G271" s="10"/>
      <c r="H271" s="11"/>
      <c r="I271" s="16"/>
      <c r="J271" s="16"/>
      <c r="K271" s="16"/>
    </row>
    <row r="272" ht="15.75" customHeight="1" spans="1:11">
      <c r="A272" s="131" t="s">
        <v>299</v>
      </c>
      <c r="B272" s="11"/>
      <c r="C272" s="135"/>
      <c r="D272" s="134">
        <f t="array" ref="D272">LEN(C272)-SUM((LEN(C272)-LEN(SUBSTITUTE(C272,修饰名称!$E$2:$E$93,修饰名称!$F$2:$F$93))))</f>
        <v>0</v>
      </c>
      <c r="E272" s="11"/>
      <c r="F272" s="11"/>
      <c r="G272" s="10"/>
      <c r="H272" s="11"/>
      <c r="I272" s="16"/>
      <c r="J272" s="16"/>
      <c r="K272" s="16"/>
    </row>
    <row r="273" ht="15.75" customHeight="1" spans="1:11">
      <c r="A273" s="131" t="s">
        <v>300</v>
      </c>
      <c r="B273" s="11"/>
      <c r="C273" s="135"/>
      <c r="D273" s="134">
        <f t="array" ref="D273">LEN(C273)-SUM((LEN(C273)-LEN(SUBSTITUTE(C273,修饰名称!$E$2:$E$93,修饰名称!$F$2:$F$93))))</f>
        <v>0</v>
      </c>
      <c r="E273" s="11"/>
      <c r="F273" s="11"/>
      <c r="G273" s="10"/>
      <c r="H273" s="11"/>
      <c r="I273" s="16"/>
      <c r="J273" s="16"/>
      <c r="K273" s="16"/>
    </row>
    <row r="274" ht="15.75" customHeight="1" spans="1:11">
      <c r="A274" s="131" t="s">
        <v>301</v>
      </c>
      <c r="B274" s="11"/>
      <c r="C274" s="135"/>
      <c r="D274" s="134">
        <f t="array" ref="D274">LEN(C274)-SUM((LEN(C274)-LEN(SUBSTITUTE(C274,修饰名称!$E$2:$E$93,修饰名称!$F$2:$F$93))))</f>
        <v>0</v>
      </c>
      <c r="E274" s="11"/>
      <c r="F274" s="11"/>
      <c r="G274" s="10"/>
      <c r="H274" s="11"/>
      <c r="I274" s="16"/>
      <c r="J274" s="16"/>
      <c r="K274" s="16"/>
    </row>
    <row r="275" ht="15.75" customHeight="1" spans="1:11">
      <c r="A275" s="131" t="s">
        <v>302</v>
      </c>
      <c r="B275" s="11"/>
      <c r="C275" s="135"/>
      <c r="D275" s="134">
        <f t="array" ref="D275">LEN(C275)-SUM((LEN(C275)-LEN(SUBSTITUTE(C275,修饰名称!$E$2:$E$93,修饰名称!$F$2:$F$93))))</f>
        <v>0</v>
      </c>
      <c r="E275" s="11"/>
      <c r="F275" s="11"/>
      <c r="G275" s="10"/>
      <c r="H275" s="11"/>
      <c r="I275" s="16"/>
      <c r="J275" s="16"/>
      <c r="K275" s="16"/>
    </row>
    <row r="276" ht="15.75" customHeight="1" spans="1:11">
      <c r="A276" s="131" t="s">
        <v>303</v>
      </c>
      <c r="B276" s="11"/>
      <c r="C276" s="135"/>
      <c r="D276" s="134">
        <f t="array" ref="D276">LEN(C276)-SUM((LEN(C276)-LEN(SUBSTITUTE(C276,修饰名称!$E$2:$E$93,修饰名称!$F$2:$F$93))))</f>
        <v>0</v>
      </c>
      <c r="E276" s="11"/>
      <c r="F276" s="11"/>
      <c r="G276" s="10"/>
      <c r="H276" s="11"/>
      <c r="I276" s="16"/>
      <c r="J276" s="16"/>
      <c r="K276" s="16"/>
    </row>
    <row r="277" ht="15.75" customHeight="1" spans="1:11">
      <c r="A277" s="131" t="s">
        <v>304</v>
      </c>
      <c r="B277" s="11"/>
      <c r="C277" s="135"/>
      <c r="D277" s="134">
        <f t="array" ref="D277">LEN(C277)-SUM((LEN(C277)-LEN(SUBSTITUTE(C277,修饰名称!$E$2:$E$93,修饰名称!$F$2:$F$93))))</f>
        <v>0</v>
      </c>
      <c r="E277" s="11"/>
      <c r="F277" s="11"/>
      <c r="G277" s="10"/>
      <c r="H277" s="11"/>
      <c r="I277" s="16"/>
      <c r="J277" s="16"/>
      <c r="K277" s="16"/>
    </row>
    <row r="278" ht="15.75" customHeight="1" spans="1:11">
      <c r="A278" s="131" t="s">
        <v>305</v>
      </c>
      <c r="B278" s="11"/>
      <c r="C278" s="135"/>
      <c r="D278" s="134">
        <f t="array" ref="D278">LEN(C278)-SUM((LEN(C278)-LEN(SUBSTITUTE(C278,修饰名称!$E$2:$E$93,修饰名称!$F$2:$F$93))))</f>
        <v>0</v>
      </c>
      <c r="E278" s="11"/>
      <c r="F278" s="11"/>
      <c r="G278" s="10"/>
      <c r="H278" s="11"/>
      <c r="I278" s="16"/>
      <c r="J278" s="16"/>
      <c r="K278" s="16"/>
    </row>
    <row r="279" ht="15.75" customHeight="1" spans="1:11">
      <c r="A279" s="131" t="s">
        <v>306</v>
      </c>
      <c r="B279" s="11"/>
      <c r="C279" s="135"/>
      <c r="D279" s="134">
        <f t="array" ref="D279">LEN(C279)-SUM((LEN(C279)-LEN(SUBSTITUTE(C279,修饰名称!$E$2:$E$93,修饰名称!$F$2:$F$93))))</f>
        <v>0</v>
      </c>
      <c r="E279" s="11"/>
      <c r="F279" s="11"/>
      <c r="G279" s="10"/>
      <c r="H279" s="11"/>
      <c r="I279" s="16"/>
      <c r="J279" s="16"/>
      <c r="K279" s="16"/>
    </row>
    <row r="280" ht="15.75" customHeight="1" spans="1:11">
      <c r="A280" s="131" t="s">
        <v>307</v>
      </c>
      <c r="B280" s="11"/>
      <c r="C280" s="135"/>
      <c r="D280" s="134">
        <f t="array" ref="D280">LEN(C280)-SUM((LEN(C280)-LEN(SUBSTITUTE(C280,修饰名称!$E$2:$E$93,修饰名称!$F$2:$F$93))))</f>
        <v>0</v>
      </c>
      <c r="E280" s="11"/>
      <c r="F280" s="11"/>
      <c r="G280" s="10"/>
      <c r="H280" s="11"/>
      <c r="I280" s="16"/>
      <c r="J280" s="16"/>
      <c r="K280" s="16"/>
    </row>
    <row r="281" ht="15.75" customHeight="1" spans="1:11">
      <c r="A281" s="131" t="s">
        <v>308</v>
      </c>
      <c r="B281" s="11"/>
      <c r="C281" s="135"/>
      <c r="D281" s="134">
        <f t="array" ref="D281">LEN(C281)-SUM((LEN(C281)-LEN(SUBSTITUTE(C281,修饰名称!$E$2:$E$93,修饰名称!$F$2:$F$93))))</f>
        <v>0</v>
      </c>
      <c r="E281" s="11"/>
      <c r="F281" s="11"/>
      <c r="G281" s="10"/>
      <c r="H281" s="11"/>
      <c r="I281" s="16"/>
      <c r="J281" s="16"/>
      <c r="K281" s="16"/>
    </row>
    <row r="282" ht="15.75" customHeight="1" spans="1:11">
      <c r="A282" s="131" t="s">
        <v>309</v>
      </c>
      <c r="B282" s="11"/>
      <c r="C282" s="135"/>
      <c r="D282" s="134">
        <f t="array" ref="D282">LEN(C282)-SUM((LEN(C282)-LEN(SUBSTITUTE(C282,修饰名称!$E$2:$E$93,修饰名称!$F$2:$F$93))))</f>
        <v>0</v>
      </c>
      <c r="E282" s="11"/>
      <c r="F282" s="11"/>
      <c r="G282" s="10"/>
      <c r="H282" s="11"/>
      <c r="I282" s="16"/>
      <c r="J282" s="16"/>
      <c r="K282" s="16"/>
    </row>
    <row r="283" ht="15.75" customHeight="1" spans="1:11">
      <c r="A283" s="131" t="s">
        <v>310</v>
      </c>
      <c r="B283" s="11"/>
      <c r="C283" s="135"/>
      <c r="D283" s="134">
        <f t="array" ref="D283">LEN(C283)-SUM((LEN(C283)-LEN(SUBSTITUTE(C283,修饰名称!$E$2:$E$93,修饰名称!$F$2:$F$93))))</f>
        <v>0</v>
      </c>
      <c r="E283" s="11"/>
      <c r="F283" s="11"/>
      <c r="G283" s="10"/>
      <c r="H283" s="11"/>
      <c r="I283" s="16"/>
      <c r="J283" s="16"/>
      <c r="K283" s="16"/>
    </row>
    <row r="284" ht="15.75" customHeight="1" spans="1:11">
      <c r="A284" s="131" t="s">
        <v>311</v>
      </c>
      <c r="B284" s="11"/>
      <c r="C284" s="135"/>
      <c r="D284" s="134">
        <f t="array" ref="D284">LEN(C284)-SUM((LEN(C284)-LEN(SUBSTITUTE(C284,修饰名称!$E$2:$E$93,修饰名称!$F$2:$F$93))))</f>
        <v>0</v>
      </c>
      <c r="E284" s="11"/>
      <c r="F284" s="11"/>
      <c r="G284" s="10"/>
      <c r="H284" s="11"/>
      <c r="I284" s="16"/>
      <c r="J284" s="16"/>
      <c r="K284" s="16"/>
    </row>
    <row r="285" ht="15.75" customHeight="1" spans="1:11">
      <c r="A285" s="131" t="s">
        <v>312</v>
      </c>
      <c r="B285" s="11"/>
      <c r="C285" s="135"/>
      <c r="D285" s="134">
        <f t="array" ref="D285">LEN(C285)-SUM((LEN(C285)-LEN(SUBSTITUTE(C285,修饰名称!$E$2:$E$93,修饰名称!$F$2:$F$93))))</f>
        <v>0</v>
      </c>
      <c r="E285" s="11"/>
      <c r="F285" s="11"/>
      <c r="G285" s="10"/>
      <c r="H285" s="11"/>
      <c r="I285" s="16"/>
      <c r="J285" s="16"/>
      <c r="K285" s="16"/>
    </row>
    <row r="286" ht="15.75" customHeight="1" spans="1:11">
      <c r="A286" s="131" t="s">
        <v>313</v>
      </c>
      <c r="B286" s="11"/>
      <c r="C286" s="135"/>
      <c r="D286" s="134">
        <f t="array" ref="D286">LEN(C286)-SUM((LEN(C286)-LEN(SUBSTITUTE(C286,修饰名称!$E$2:$E$93,修饰名称!$F$2:$F$93))))</f>
        <v>0</v>
      </c>
      <c r="E286" s="11"/>
      <c r="F286" s="11"/>
      <c r="G286" s="10"/>
      <c r="H286" s="11"/>
      <c r="I286" s="16"/>
      <c r="J286" s="16"/>
      <c r="K286" s="16"/>
    </row>
    <row r="287" ht="15.75" customHeight="1" spans="1:11">
      <c r="A287" s="131" t="s">
        <v>314</v>
      </c>
      <c r="B287" s="11"/>
      <c r="C287" s="135"/>
      <c r="D287" s="134">
        <f t="array" ref="D287">LEN(C287)-SUM((LEN(C287)-LEN(SUBSTITUTE(C287,修饰名称!$E$2:$E$93,修饰名称!$F$2:$F$93))))</f>
        <v>0</v>
      </c>
      <c r="E287" s="11"/>
      <c r="F287" s="11"/>
      <c r="G287" s="10"/>
      <c r="H287" s="11"/>
      <c r="I287" s="16"/>
      <c r="J287" s="16"/>
      <c r="K287" s="16"/>
    </row>
    <row r="288" ht="15.75" customHeight="1" spans="1:11">
      <c r="A288" s="131" t="s">
        <v>315</v>
      </c>
      <c r="B288" s="11"/>
      <c r="C288" s="135"/>
      <c r="D288" s="134">
        <f t="array" ref="D288">LEN(C288)-SUM((LEN(C288)-LEN(SUBSTITUTE(C288,修饰名称!$E$2:$E$93,修饰名称!$F$2:$F$93))))</f>
        <v>0</v>
      </c>
      <c r="E288" s="11"/>
      <c r="F288" s="11"/>
      <c r="G288" s="10"/>
      <c r="H288" s="11"/>
      <c r="I288" s="16"/>
      <c r="J288" s="16"/>
      <c r="K288" s="16"/>
    </row>
    <row r="289" ht="15.75" customHeight="1" spans="1:11">
      <c r="A289" s="131" t="s">
        <v>316</v>
      </c>
      <c r="B289" s="11"/>
      <c r="C289" s="135"/>
      <c r="D289" s="134">
        <f t="array" ref="D289">LEN(C289)-SUM((LEN(C289)-LEN(SUBSTITUTE(C289,修饰名称!$E$2:$E$93,修饰名称!$F$2:$F$93))))</f>
        <v>0</v>
      </c>
      <c r="E289" s="11"/>
      <c r="F289" s="11"/>
      <c r="G289" s="10"/>
      <c r="H289" s="11"/>
      <c r="I289" s="16"/>
      <c r="J289" s="16"/>
      <c r="K289" s="16"/>
    </row>
    <row r="290" ht="15.75" customHeight="1" spans="1:11">
      <c r="A290" s="131" t="s">
        <v>317</v>
      </c>
      <c r="B290" s="11"/>
      <c r="C290" s="135"/>
      <c r="D290" s="134">
        <f t="array" ref="D290">LEN(C290)-SUM((LEN(C290)-LEN(SUBSTITUTE(C290,修饰名称!$E$2:$E$93,修饰名称!$F$2:$F$93))))</f>
        <v>0</v>
      </c>
      <c r="E290" s="11"/>
      <c r="F290" s="11"/>
      <c r="G290" s="10"/>
      <c r="H290" s="11"/>
      <c r="I290" s="16"/>
      <c r="J290" s="16"/>
      <c r="K290" s="16"/>
    </row>
    <row r="291" ht="15.75" customHeight="1" spans="1:11">
      <c r="A291" s="131" t="s">
        <v>318</v>
      </c>
      <c r="B291" s="11"/>
      <c r="C291" s="135"/>
      <c r="D291" s="134">
        <f t="array" ref="D291">LEN(C291)-SUM((LEN(C291)-LEN(SUBSTITUTE(C291,修饰名称!$E$2:$E$93,修饰名称!$F$2:$F$93))))</f>
        <v>0</v>
      </c>
      <c r="E291" s="11"/>
      <c r="F291" s="11"/>
      <c r="G291" s="10"/>
      <c r="H291" s="11"/>
      <c r="I291" s="16"/>
      <c r="J291" s="16"/>
      <c r="K291" s="16"/>
    </row>
    <row r="292" ht="15.75" customHeight="1" spans="1:11">
      <c r="A292" s="131" t="s">
        <v>319</v>
      </c>
      <c r="B292" s="11"/>
      <c r="C292" s="135"/>
      <c r="D292" s="134">
        <f t="array" ref="D292">LEN(C292)-SUM((LEN(C292)-LEN(SUBSTITUTE(C292,修饰名称!$E$2:$E$93,修饰名称!$F$2:$F$93))))</f>
        <v>0</v>
      </c>
      <c r="E292" s="11"/>
      <c r="F292" s="11"/>
      <c r="G292" s="10"/>
      <c r="H292" s="11"/>
      <c r="I292" s="16"/>
      <c r="J292" s="16"/>
      <c r="K292" s="16"/>
    </row>
    <row r="293" ht="15.75" customHeight="1" spans="1:11">
      <c r="A293" s="131" t="s">
        <v>320</v>
      </c>
      <c r="B293" s="11"/>
      <c r="C293" s="135"/>
      <c r="D293" s="134">
        <f t="array" ref="D293">LEN(C293)-SUM((LEN(C293)-LEN(SUBSTITUTE(C293,修饰名称!$E$2:$E$93,修饰名称!$F$2:$F$93))))</f>
        <v>0</v>
      </c>
      <c r="E293" s="11"/>
      <c r="F293" s="11"/>
      <c r="G293" s="10"/>
      <c r="H293" s="11"/>
      <c r="I293" s="16"/>
      <c r="J293" s="16"/>
      <c r="K293" s="16"/>
    </row>
    <row r="294" ht="15.75" customHeight="1" spans="1:11">
      <c r="A294" s="131" t="s">
        <v>321</v>
      </c>
      <c r="B294" s="11"/>
      <c r="C294" s="135"/>
      <c r="D294" s="134">
        <f t="array" ref="D294">LEN(C294)-SUM((LEN(C294)-LEN(SUBSTITUTE(C294,修饰名称!$E$2:$E$93,修饰名称!$F$2:$F$93))))</f>
        <v>0</v>
      </c>
      <c r="E294" s="11"/>
      <c r="F294" s="11"/>
      <c r="G294" s="10"/>
      <c r="H294" s="11"/>
      <c r="I294" s="16"/>
      <c r="J294" s="16"/>
      <c r="K294" s="16"/>
    </row>
    <row r="295" ht="15.75" customHeight="1" spans="1:11">
      <c r="A295" s="131" t="s">
        <v>322</v>
      </c>
      <c r="B295" s="11"/>
      <c r="C295" s="135"/>
      <c r="D295" s="134">
        <f t="array" ref="D295">LEN(C295)-SUM((LEN(C295)-LEN(SUBSTITUTE(C295,修饰名称!$E$2:$E$93,修饰名称!$F$2:$F$93))))</f>
        <v>0</v>
      </c>
      <c r="E295" s="11"/>
      <c r="F295" s="11"/>
      <c r="G295" s="10"/>
      <c r="H295" s="11"/>
      <c r="I295" s="16"/>
      <c r="J295" s="16"/>
      <c r="K295" s="16"/>
    </row>
    <row r="296" ht="15.75" customHeight="1" spans="1:11">
      <c r="A296" s="131" t="s">
        <v>323</v>
      </c>
      <c r="B296" s="11"/>
      <c r="C296" s="135"/>
      <c r="D296" s="134">
        <f t="array" ref="D296">LEN(C296)-SUM((LEN(C296)-LEN(SUBSTITUTE(C296,修饰名称!$E$2:$E$93,修饰名称!$F$2:$F$93))))</f>
        <v>0</v>
      </c>
      <c r="E296" s="11"/>
      <c r="F296" s="11"/>
      <c r="G296" s="10"/>
      <c r="H296" s="11"/>
      <c r="I296" s="16"/>
      <c r="J296" s="16"/>
      <c r="K296" s="16"/>
    </row>
    <row r="297" ht="15.75" customHeight="1" spans="1:11">
      <c r="A297" s="131" t="s">
        <v>324</v>
      </c>
      <c r="B297" s="11"/>
      <c r="C297" s="135"/>
      <c r="D297" s="134">
        <f t="array" ref="D297">LEN(C297)-SUM((LEN(C297)-LEN(SUBSTITUTE(C297,修饰名称!$E$2:$E$93,修饰名称!$F$2:$F$93))))</f>
        <v>0</v>
      </c>
      <c r="E297" s="11"/>
      <c r="F297" s="11"/>
      <c r="G297" s="10"/>
      <c r="H297" s="11"/>
      <c r="I297" s="16"/>
      <c r="J297" s="16"/>
      <c r="K297" s="16"/>
    </row>
    <row r="298" ht="15.75" customHeight="1" spans="1:11">
      <c r="A298" s="131" t="s">
        <v>325</v>
      </c>
      <c r="B298" s="11"/>
      <c r="C298" s="135"/>
      <c r="D298" s="134">
        <f t="array" ref="D298">LEN(C298)-SUM((LEN(C298)-LEN(SUBSTITUTE(C298,修饰名称!$E$2:$E$93,修饰名称!$F$2:$F$93))))</f>
        <v>0</v>
      </c>
      <c r="E298" s="11"/>
      <c r="F298" s="11"/>
      <c r="G298" s="10"/>
      <c r="H298" s="11"/>
      <c r="I298" s="16"/>
      <c r="J298" s="16"/>
      <c r="K298" s="16"/>
    </row>
    <row r="299" ht="15.75" customHeight="1" spans="1:11">
      <c r="A299" s="131" t="s">
        <v>326</v>
      </c>
      <c r="B299" s="11"/>
      <c r="C299" s="135"/>
      <c r="D299" s="134">
        <f t="array" ref="D299">LEN(C299)-SUM((LEN(C299)-LEN(SUBSTITUTE(C299,修饰名称!$E$2:$E$93,修饰名称!$F$2:$F$93))))</f>
        <v>0</v>
      </c>
      <c r="E299" s="11"/>
      <c r="F299" s="11"/>
      <c r="G299" s="10"/>
      <c r="H299" s="11"/>
      <c r="I299" s="16"/>
      <c r="J299" s="16"/>
      <c r="K299" s="16"/>
    </row>
    <row r="300" ht="15.75" customHeight="1" spans="1:11">
      <c r="A300" s="131" t="s">
        <v>327</v>
      </c>
      <c r="B300" s="11"/>
      <c r="C300" s="135"/>
      <c r="D300" s="134">
        <f t="array" ref="D300">LEN(C300)-SUM((LEN(C300)-LEN(SUBSTITUTE(C300,修饰名称!$E$2:$E$93,修饰名称!$F$2:$F$93))))</f>
        <v>0</v>
      </c>
      <c r="E300" s="11"/>
      <c r="F300" s="11"/>
      <c r="G300" s="10"/>
      <c r="H300" s="11"/>
      <c r="I300" s="16"/>
      <c r="J300" s="16"/>
      <c r="K300" s="16"/>
    </row>
    <row r="301" ht="15.75" customHeight="1" spans="1:11">
      <c r="A301" s="131" t="s">
        <v>328</v>
      </c>
      <c r="B301" s="11"/>
      <c r="C301" s="135"/>
      <c r="D301" s="134">
        <f t="array" ref="D301">LEN(C301)-SUM((LEN(C301)-LEN(SUBSTITUTE(C301,修饰名称!$E$2:$E$93,修饰名称!$F$2:$F$93))))</f>
        <v>0</v>
      </c>
      <c r="E301" s="11"/>
      <c r="F301" s="11"/>
      <c r="G301" s="10"/>
      <c r="H301" s="11"/>
      <c r="I301" s="16"/>
      <c r="J301" s="16"/>
      <c r="K301" s="16"/>
    </row>
    <row r="302" ht="15.75" customHeight="1" spans="1:11">
      <c r="A302" s="131" t="s">
        <v>329</v>
      </c>
      <c r="B302" s="11"/>
      <c r="C302" s="135"/>
      <c r="D302" s="134">
        <f t="array" ref="D302">LEN(C302)-SUM((LEN(C302)-LEN(SUBSTITUTE(C302,修饰名称!$E$2:$E$93,修饰名称!$F$2:$F$93))))</f>
        <v>0</v>
      </c>
      <c r="E302" s="11"/>
      <c r="F302" s="11"/>
      <c r="G302" s="10"/>
      <c r="H302" s="11"/>
      <c r="I302" s="16"/>
      <c r="J302" s="16"/>
      <c r="K302" s="16"/>
    </row>
    <row r="303" ht="15.75" customHeight="1" spans="1:11">
      <c r="A303" s="131" t="s">
        <v>330</v>
      </c>
      <c r="B303" s="11"/>
      <c r="C303" s="135"/>
      <c r="D303" s="134">
        <f t="array" ref="D303">LEN(C303)-SUM((LEN(C303)-LEN(SUBSTITUTE(C303,修饰名称!$E$2:$E$93,修饰名称!$F$2:$F$93))))</f>
        <v>0</v>
      </c>
      <c r="E303" s="11"/>
      <c r="F303" s="11"/>
      <c r="G303" s="10"/>
      <c r="H303" s="11"/>
      <c r="I303" s="16"/>
      <c r="J303" s="16"/>
      <c r="K303" s="16"/>
    </row>
    <row r="304" ht="15.75" customHeight="1" spans="1:11">
      <c r="A304" s="131" t="s">
        <v>331</v>
      </c>
      <c r="B304" s="11"/>
      <c r="C304" s="135"/>
      <c r="D304" s="134">
        <f t="array" ref="D304">LEN(C304)-SUM((LEN(C304)-LEN(SUBSTITUTE(C304,修饰名称!$E$2:$E$93,修饰名称!$F$2:$F$93))))</f>
        <v>0</v>
      </c>
      <c r="E304" s="11"/>
      <c r="F304" s="11"/>
      <c r="G304" s="10"/>
      <c r="H304" s="11"/>
      <c r="I304" s="16"/>
      <c r="J304" s="16"/>
      <c r="K304" s="16"/>
    </row>
    <row r="305" ht="15.75" customHeight="1" spans="1:11">
      <c r="A305" s="131" t="s">
        <v>332</v>
      </c>
      <c r="B305" s="11"/>
      <c r="C305" s="135"/>
      <c r="D305" s="134">
        <f t="array" ref="D305">LEN(C305)-SUM((LEN(C305)-LEN(SUBSTITUTE(C305,修饰名称!$E$2:$E$93,修饰名称!$F$2:$F$93))))</f>
        <v>0</v>
      </c>
      <c r="E305" s="11"/>
      <c r="F305" s="11"/>
      <c r="G305" s="10"/>
      <c r="H305" s="11"/>
      <c r="I305" s="16"/>
      <c r="J305" s="16"/>
      <c r="K305" s="16"/>
    </row>
    <row r="306" ht="15.75" customHeight="1" spans="1:11">
      <c r="A306" s="131" t="s">
        <v>333</v>
      </c>
      <c r="B306" s="11"/>
      <c r="C306" s="135"/>
      <c r="D306" s="134">
        <f t="array" ref="D306">LEN(C306)-SUM((LEN(C306)-LEN(SUBSTITUTE(C306,修饰名称!$E$2:$E$93,修饰名称!$F$2:$F$93))))</f>
        <v>0</v>
      </c>
      <c r="E306" s="11"/>
      <c r="F306" s="11"/>
      <c r="G306" s="10"/>
      <c r="H306" s="11"/>
      <c r="I306" s="16"/>
      <c r="J306" s="16"/>
      <c r="K306" s="16"/>
    </row>
    <row r="307" ht="15.75" customHeight="1" spans="1:11">
      <c r="A307" s="131" t="s">
        <v>334</v>
      </c>
      <c r="B307" s="11"/>
      <c r="C307" s="135"/>
      <c r="D307" s="134">
        <f t="array" ref="D307">LEN(C307)-SUM((LEN(C307)-LEN(SUBSTITUTE(C307,修饰名称!$E$2:$E$93,修饰名称!$F$2:$F$93))))</f>
        <v>0</v>
      </c>
      <c r="E307" s="11"/>
      <c r="F307" s="11"/>
      <c r="G307" s="10"/>
      <c r="H307" s="11"/>
      <c r="I307" s="16"/>
      <c r="J307" s="16"/>
      <c r="K307" s="16"/>
    </row>
    <row r="308" ht="15.75" customHeight="1" spans="1:11">
      <c r="A308" s="131" t="s">
        <v>335</v>
      </c>
      <c r="B308" s="11"/>
      <c r="C308" s="135"/>
      <c r="D308" s="134">
        <f t="array" ref="D308">LEN(C308)-SUM((LEN(C308)-LEN(SUBSTITUTE(C308,修饰名称!$E$2:$E$93,修饰名称!$F$2:$F$93))))</f>
        <v>0</v>
      </c>
      <c r="E308" s="11"/>
      <c r="F308" s="11"/>
      <c r="G308" s="10"/>
      <c r="H308" s="11"/>
      <c r="I308" s="16"/>
      <c r="J308" s="16"/>
      <c r="K308" s="16"/>
    </row>
    <row r="309" ht="15.75" customHeight="1" spans="1:11">
      <c r="A309" s="131" t="s">
        <v>336</v>
      </c>
      <c r="B309" s="11"/>
      <c r="C309" s="135"/>
      <c r="D309" s="134">
        <f t="array" ref="D309">LEN(C309)-SUM((LEN(C309)-LEN(SUBSTITUTE(C309,修饰名称!$E$2:$E$93,修饰名称!$F$2:$F$93))))</f>
        <v>0</v>
      </c>
      <c r="E309" s="11"/>
      <c r="F309" s="11"/>
      <c r="G309" s="10"/>
      <c r="H309" s="11"/>
      <c r="I309" s="16"/>
      <c r="J309" s="16"/>
      <c r="K309" s="16"/>
    </row>
    <row r="310" ht="15.75" customHeight="1" spans="1:11">
      <c r="A310" s="131" t="s">
        <v>337</v>
      </c>
      <c r="B310" s="11"/>
      <c r="C310" s="135"/>
      <c r="D310" s="134">
        <f t="array" ref="D310">LEN(C310)-SUM((LEN(C310)-LEN(SUBSTITUTE(C310,修饰名称!$E$2:$E$93,修饰名称!$F$2:$F$93))))</f>
        <v>0</v>
      </c>
      <c r="E310" s="11"/>
      <c r="F310" s="11"/>
      <c r="G310" s="10"/>
      <c r="H310" s="11"/>
      <c r="I310" s="16"/>
      <c r="J310" s="16"/>
      <c r="K310" s="16"/>
    </row>
    <row r="311" ht="15.75" customHeight="1" spans="1:11">
      <c r="A311" s="131" t="s">
        <v>338</v>
      </c>
      <c r="B311" s="11"/>
      <c r="C311" s="135"/>
      <c r="D311" s="134">
        <f t="array" ref="D311">LEN(C311)-SUM((LEN(C311)-LEN(SUBSTITUTE(C311,修饰名称!$E$2:$E$93,修饰名称!$F$2:$F$93))))</f>
        <v>0</v>
      </c>
      <c r="E311" s="11"/>
      <c r="F311" s="11"/>
      <c r="G311" s="10"/>
      <c r="H311" s="11"/>
      <c r="I311" s="16"/>
      <c r="J311" s="16"/>
      <c r="K311" s="16"/>
    </row>
    <row r="312" ht="15.75" customHeight="1" spans="1:11">
      <c r="A312" s="131" t="s">
        <v>339</v>
      </c>
      <c r="B312" s="11"/>
      <c r="C312" s="135"/>
      <c r="D312" s="134">
        <f t="array" ref="D312">LEN(C312)-SUM((LEN(C312)-LEN(SUBSTITUTE(C312,修饰名称!$E$2:$E$93,修饰名称!$F$2:$F$93))))</f>
        <v>0</v>
      </c>
      <c r="E312" s="11"/>
      <c r="F312" s="11"/>
      <c r="G312" s="10"/>
      <c r="H312" s="11"/>
      <c r="I312" s="16"/>
      <c r="J312" s="16"/>
      <c r="K312" s="16"/>
    </row>
    <row r="313" ht="15.75" customHeight="1" spans="1:11">
      <c r="A313" s="131" t="s">
        <v>340</v>
      </c>
      <c r="B313" s="11"/>
      <c r="C313" s="135"/>
      <c r="D313" s="134">
        <f t="array" ref="D313">LEN(C313)-SUM((LEN(C313)-LEN(SUBSTITUTE(C313,修饰名称!$E$2:$E$93,修饰名称!$F$2:$F$93))))</f>
        <v>0</v>
      </c>
      <c r="E313" s="11"/>
      <c r="F313" s="11"/>
      <c r="G313" s="10"/>
      <c r="H313" s="11"/>
      <c r="I313" s="16"/>
      <c r="J313" s="16"/>
      <c r="K313" s="16"/>
    </row>
    <row r="314" ht="15.75" customHeight="1" spans="1:11">
      <c r="A314" s="131" t="s">
        <v>341</v>
      </c>
      <c r="B314" s="11"/>
      <c r="C314" s="135"/>
      <c r="D314" s="134">
        <f t="array" ref="D314">LEN(C314)-SUM((LEN(C314)-LEN(SUBSTITUTE(C314,修饰名称!$E$2:$E$93,修饰名称!$F$2:$F$93))))</f>
        <v>0</v>
      </c>
      <c r="E314" s="11"/>
      <c r="F314" s="11"/>
      <c r="G314" s="10"/>
      <c r="H314" s="11"/>
      <c r="I314" s="16"/>
      <c r="J314" s="16"/>
      <c r="K314" s="16"/>
    </row>
    <row r="315" ht="15.75" customHeight="1" spans="1:11">
      <c r="A315" s="131" t="s">
        <v>342</v>
      </c>
      <c r="B315" s="11"/>
      <c r="C315" s="135"/>
      <c r="D315" s="134">
        <f t="array" ref="D315">LEN(C315)-SUM((LEN(C315)-LEN(SUBSTITUTE(C315,修饰名称!$E$2:$E$93,修饰名称!$F$2:$F$93))))</f>
        <v>0</v>
      </c>
      <c r="E315" s="11"/>
      <c r="F315" s="11"/>
      <c r="G315" s="10"/>
      <c r="H315" s="11"/>
      <c r="I315" s="16"/>
      <c r="J315" s="16"/>
      <c r="K315" s="16"/>
    </row>
    <row r="316" ht="15.75" customHeight="1" spans="1:11">
      <c r="A316" s="131" t="s">
        <v>343</v>
      </c>
      <c r="B316" s="11"/>
      <c r="C316" s="135"/>
      <c r="D316" s="134">
        <f t="array" ref="D316">LEN(C316)-SUM((LEN(C316)-LEN(SUBSTITUTE(C316,修饰名称!$E$2:$E$93,修饰名称!$F$2:$F$93))))</f>
        <v>0</v>
      </c>
      <c r="E316" s="11"/>
      <c r="F316" s="11"/>
      <c r="G316" s="10"/>
      <c r="H316" s="11"/>
      <c r="I316" s="16"/>
      <c r="J316" s="16"/>
      <c r="K316" s="16"/>
    </row>
    <row r="317" ht="15.75" customHeight="1" spans="1:11">
      <c r="A317" s="131" t="s">
        <v>344</v>
      </c>
      <c r="B317" s="11"/>
      <c r="C317" s="135"/>
      <c r="D317" s="134">
        <f t="array" ref="D317">LEN(C317)-SUM((LEN(C317)-LEN(SUBSTITUTE(C317,修饰名称!$E$2:$E$93,修饰名称!$F$2:$F$93))))</f>
        <v>0</v>
      </c>
      <c r="E317" s="11"/>
      <c r="F317" s="11"/>
      <c r="G317" s="10"/>
      <c r="H317" s="11"/>
      <c r="I317" s="16"/>
      <c r="J317" s="16"/>
      <c r="K317" s="16"/>
    </row>
  </sheetData>
  <mergeCells count="26">
    <mergeCell ref="A3:B3"/>
    <mergeCell ref="B4:C4"/>
    <mergeCell ref="D4:H4"/>
    <mergeCell ref="I4:K4"/>
    <mergeCell ref="B5:C5"/>
    <mergeCell ref="D5:H5"/>
    <mergeCell ref="I5:K5"/>
    <mergeCell ref="B6:C6"/>
    <mergeCell ref="D6:H6"/>
    <mergeCell ref="I6:K6"/>
    <mergeCell ref="B7:C7"/>
    <mergeCell ref="D7:H7"/>
    <mergeCell ref="I7:K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E16:K16"/>
    <mergeCell ref="A1:A2"/>
    <mergeCell ref="C1:I2"/>
    <mergeCell ref="D8:K15"/>
  </mergeCells>
  <dataValidations count="19">
    <dataValidation allowBlank="1" showInputMessage="1" showErrorMessage="1" promptTitle="填写说明" prompt="一般是填企业单位、高校、科研院所、或相关实验室的送达方，即订货人或收货人" sqref="B4:D4"/>
    <dataValidation type="textLength" operator="equal" allowBlank="1" showInputMessage="1" showErrorMessage="1" errorTitle="格式错误" error="请正确填写11位数字手机号" promptTitle="填写说明" prompt="中国大陆地区请输入11位手机号" sqref="B5" errorStyle="warning">
      <formula1>11</formula1>
    </dataValidation>
    <dataValidation allowBlank="1" showInputMessage="1" showErrorMessage="1" promptTitle="填写说明" prompt="如果您是企业客户，请填写法人；如果您是高校、科研院所或其他事业单位客户，请填写课题组负责人或导师。" sqref="B7"/>
    <dataValidation type="textLength" operator="between" allowBlank="1" showInputMessage="1" showErrorMessage="1" promptTitle="填写说明" prompt="区号、主号和分机号间用“-”号隔开，如 021-57072168-8001" sqref="B8:C8">
      <formula1>1</formula1>
      <formula2>150</formula2>
    </dataValidation>
    <dataValidation type="list" allowBlank="1" showInputMessage="1" showErrorMessage="1" promptTitle="填写提示" prompt="请在下拉菜单中进行选择" sqref="B11:C11">
      <formula1>"银行转账,协议支付,专项经费,货到付款"</formula1>
    </dataValidation>
    <dataValidation type="list" allowBlank="1" showInputMessage="1" showErrorMessage="1" promptTitle="填写提示" prompt="请在下拉菜单中进行选择" sqref="B12:C12">
      <formula1>"是,否"</formula1>
    </dataValidation>
    <dataValidation allowBlank="1" showInputMessage="1" showErrorMessage="1" prompt="此处自动合计数值，无需填写。" sqref="E16 D18:D317"/>
    <dataValidation allowBlank="1" showInputMessage="1" showErrorMessage="1" promptTitle="记入请别做" sqref="A17:A317"/>
    <dataValidation type="list" allowBlank="1" showInputMessage="1" showErrorMessage="1" promptTitle="填写说明" prompt="请在下拉菜单中选择“是/否”" sqref="B15:B16">
      <formula1>"是,否"</formula1>
    </dataValidation>
    <dataValidation allowBlank="1" showInputMessage="1" showErrorMessage="1" promptTitle="填写说明" prompt="请给定每个Oligo一个唯一的名称，为方便检索。" sqref="B18:B317"/>
    <dataValidation type="textLength" operator="between" allowBlank="1" showInputMessage="1" showErrorMessage="1" promptTitle="序列要求" prompt="一、序列大小写均可以，兼并碱基请用以下代码:R(A,g),Y(C,T),M(A,C),K(g,T),S(g,C),W(A,T),H(A,T,C),B(g,T,C),V(g,A,C),D(g,A,T), N(A,T,g,C)；为配合我们自动录入，序列中请不要使用空格或其它非序列信息符号；&#10;二、如需要中间修饰，请把修饰代码放入序列中您需要标记的位置，多种修饰或多个修饰请依次填写。中间修饰名称及代码请参照 sheet《帮助》。" sqref="C19:C317">
      <formula1>4</formula1>
      <formula2>1000</formula2>
    </dataValidation>
    <dataValidation allowBlank="1" showInputMessage="1" showErrorMessage="1" prompt="请填写。" sqref="E18:E20 E21:E317"/>
    <dataValidation allowBlank="1" showInputMessage="1" showErrorMessage="1" promptTitle="填写说明" prompt="根据您的实验填写所需的OD量，1 OD ≈ 33μg 一般PCR扩增，20个碱基左右引物2 OD，可以做400-500次50μl标准PCR反应。" sqref="F18:F20 F21:F317"/>
    <dataValidation type="list" allowBlank="1" showInputMessage="1" showErrorMessage="1" promptTitle="填写说明" prompt="请通过下拉框选择适合的Oligo纯化方式" sqref="G18:G317">
      <formula1>"HAP,PAGE,ULTRAPAGE,HPLC,HPLC_CE,IE-HPLC,2X HPLC,PAGE+HPLC"</formula1>
    </dataValidation>
    <dataValidation allowBlank="1" showInputMessage="1" showErrorMessage="1" promptTitle="填写说明" prompt="为了便于您使用，我们提供以nmole为产量的合成。通常情况下20个碱基的引物 5 nmoles ≈ 1 OD" sqref="H18:H19 H20:H317"/>
    <dataValidation type="list" allowBlank="1" showInputMessage="1" showErrorMessage="1" sqref="I18:I317">
      <formula1>修饰名称!$A$2:$A$74</formula1>
    </dataValidation>
    <dataValidation type="list" allowBlank="1" showInputMessage="1" showErrorMessage="1" sqref="J18:J317">
      <formula1>修饰名称!$B$2:$B$75</formula1>
    </dataValidation>
    <dataValidation type="list" allowBlank="1" showInputMessage="1" showErrorMessage="1" sqref="K18:K317">
      <formula1>修饰名称!$C$2:$C$49</formula1>
    </dataValidation>
    <dataValidation type="textLength" operator="between" allowBlank="1" promptTitle="填写说明" sqref="D8:K15">
      <formula1>1</formula1>
      <formula2>150</formula2>
    </dataValidation>
  </dataValidations>
  <pageMargins left="0.28" right="0.16" top="0.42" bottom="0.56" header="0.23" footer="0.5"/>
  <pageSetup paperSize="9" scale="45" orientation="landscape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06"/>
  <sheetViews>
    <sheetView workbookViewId="0">
      <selection activeCell="C16" sqref="C16"/>
    </sheetView>
  </sheetViews>
  <sheetFormatPr defaultColWidth="9" defaultRowHeight="13.2" outlineLevelCol="5"/>
  <cols>
    <col min="1" max="1" width="21.5" style="22" customWidth="1"/>
    <col min="2" max="2" width="21.25" style="22" customWidth="1"/>
    <col min="3" max="3" width="27.875" style="22" customWidth="1"/>
    <col min="4" max="6" width="21.625" style="22" customWidth="1"/>
    <col min="7" max="16384" width="9" style="22"/>
  </cols>
  <sheetData>
    <row r="1" spans="1:6">
      <c r="A1" s="88" t="s">
        <v>345</v>
      </c>
      <c r="B1" s="88" t="s">
        <v>346</v>
      </c>
      <c r="C1" s="88" t="s">
        <v>347</v>
      </c>
      <c r="D1" s="88" t="s">
        <v>348</v>
      </c>
      <c r="E1" s="88" t="s">
        <v>349</v>
      </c>
      <c r="F1" s="88" t="s">
        <v>350</v>
      </c>
    </row>
    <row r="2" spans="1:6">
      <c r="A2" s="73" t="s">
        <v>351</v>
      </c>
      <c r="B2" s="73" t="s">
        <v>352</v>
      </c>
      <c r="C2" s="73" t="s">
        <v>353</v>
      </c>
      <c r="D2" s="73" t="s">
        <v>354</v>
      </c>
      <c r="E2" s="73" t="s">
        <v>355</v>
      </c>
      <c r="F2" s="73" t="s">
        <v>356</v>
      </c>
    </row>
    <row r="3" spans="1:6">
      <c r="A3" s="73" t="s">
        <v>357</v>
      </c>
      <c r="B3" s="73" t="s">
        <v>358</v>
      </c>
      <c r="C3" s="73" t="s">
        <v>359</v>
      </c>
      <c r="D3" s="73" t="s">
        <v>360</v>
      </c>
      <c r="E3" s="73" t="s">
        <v>361</v>
      </c>
      <c r="F3" s="73" t="s">
        <v>356</v>
      </c>
    </row>
    <row r="4" spans="1:6">
      <c r="A4" s="73" t="s">
        <v>362</v>
      </c>
      <c r="B4" s="73" t="s">
        <v>363</v>
      </c>
      <c r="C4" s="73" t="s">
        <v>364</v>
      </c>
      <c r="D4" s="73" t="s">
        <v>365</v>
      </c>
      <c r="E4" s="73" t="s">
        <v>366</v>
      </c>
      <c r="F4" s="73" t="s">
        <v>367</v>
      </c>
    </row>
    <row r="5" spans="1:6">
      <c r="A5" s="73" t="s">
        <v>368</v>
      </c>
      <c r="B5" s="73" t="s">
        <v>369</v>
      </c>
      <c r="C5" s="73" t="s">
        <v>370</v>
      </c>
      <c r="D5" s="73" t="s">
        <v>371</v>
      </c>
      <c r="E5" s="73" t="s">
        <v>372</v>
      </c>
      <c r="F5" s="73" t="s">
        <v>373</v>
      </c>
    </row>
    <row r="6" spans="1:6">
      <c r="A6" s="73" t="s">
        <v>374</v>
      </c>
      <c r="B6" s="73" t="s">
        <v>375</v>
      </c>
      <c r="C6" s="73" t="s">
        <v>376</v>
      </c>
      <c r="D6" s="73" t="s">
        <v>377</v>
      </c>
      <c r="E6" s="73" t="s">
        <v>378</v>
      </c>
      <c r="F6" s="73" t="s">
        <v>373</v>
      </c>
    </row>
    <row r="7" spans="1:6">
      <c r="A7" s="73" t="s">
        <v>379</v>
      </c>
      <c r="B7" s="73" t="s">
        <v>380</v>
      </c>
      <c r="C7" s="73" t="s">
        <v>381</v>
      </c>
      <c r="D7" s="73" t="s">
        <v>382</v>
      </c>
      <c r="E7" s="73" t="s">
        <v>383</v>
      </c>
      <c r="F7" s="73" t="s">
        <v>367</v>
      </c>
    </row>
    <row r="8" spans="1:6">
      <c r="A8" s="73" t="s">
        <v>384</v>
      </c>
      <c r="B8" s="73" t="s">
        <v>385</v>
      </c>
      <c r="C8" s="73" t="s">
        <v>386</v>
      </c>
      <c r="D8" s="73" t="s">
        <v>387</v>
      </c>
      <c r="E8" s="73" t="s">
        <v>388</v>
      </c>
      <c r="F8" s="73" t="s">
        <v>367</v>
      </c>
    </row>
    <row r="9" spans="1:6">
      <c r="A9" s="73" t="s">
        <v>389</v>
      </c>
      <c r="B9" s="73" t="s">
        <v>390</v>
      </c>
      <c r="C9" s="73" t="s">
        <v>391</v>
      </c>
      <c r="D9" s="73" t="s">
        <v>392</v>
      </c>
      <c r="E9" s="73" t="s">
        <v>393</v>
      </c>
      <c r="F9" s="73" t="s">
        <v>394</v>
      </c>
    </row>
    <row r="10" spans="1:6">
      <c r="A10" s="73" t="s">
        <v>395</v>
      </c>
      <c r="B10" s="73" t="s">
        <v>396</v>
      </c>
      <c r="C10" s="73" t="s">
        <v>397</v>
      </c>
      <c r="D10" s="73" t="s">
        <v>398</v>
      </c>
      <c r="E10" s="73" t="s">
        <v>399</v>
      </c>
      <c r="F10" s="73" t="s">
        <v>400</v>
      </c>
    </row>
    <row r="11" spans="1:6">
      <c r="A11" s="73" t="s">
        <v>401</v>
      </c>
      <c r="B11" s="73" t="s">
        <v>402</v>
      </c>
      <c r="C11" s="73" t="s">
        <v>403</v>
      </c>
      <c r="D11" s="73" t="s">
        <v>404</v>
      </c>
      <c r="E11" s="73" t="s">
        <v>405</v>
      </c>
      <c r="F11" s="73" t="s">
        <v>394</v>
      </c>
    </row>
    <row r="12" spans="1:6">
      <c r="A12" s="73" t="s">
        <v>406</v>
      </c>
      <c r="B12" s="73" t="s">
        <v>407</v>
      </c>
      <c r="C12" s="73" t="s">
        <v>408</v>
      </c>
      <c r="D12" s="73" t="s">
        <v>409</v>
      </c>
      <c r="E12" s="73" t="s">
        <v>410</v>
      </c>
      <c r="F12" s="73" t="s">
        <v>394</v>
      </c>
    </row>
    <row r="13" spans="1:6">
      <c r="A13" s="73" t="s">
        <v>411</v>
      </c>
      <c r="B13" s="73" t="s">
        <v>412</v>
      </c>
      <c r="C13" s="73" t="s">
        <v>413</v>
      </c>
      <c r="D13" s="73" t="s">
        <v>414</v>
      </c>
      <c r="E13" s="73" t="s">
        <v>415</v>
      </c>
      <c r="F13" s="73" t="s">
        <v>394</v>
      </c>
    </row>
    <row r="14" spans="1:6">
      <c r="A14" s="73" t="s">
        <v>416</v>
      </c>
      <c r="B14" s="73" t="s">
        <v>417</v>
      </c>
      <c r="C14" s="73" t="s">
        <v>418</v>
      </c>
      <c r="D14" s="73" t="s">
        <v>419</v>
      </c>
      <c r="E14" s="73" t="s">
        <v>420</v>
      </c>
      <c r="F14" s="73" t="s">
        <v>394</v>
      </c>
    </row>
    <row r="15" spans="1:6">
      <c r="A15" s="73" t="s">
        <v>421</v>
      </c>
      <c r="B15" s="73" t="s">
        <v>422</v>
      </c>
      <c r="C15" s="73" t="s">
        <v>423</v>
      </c>
      <c r="D15" s="73" t="s">
        <v>424</v>
      </c>
      <c r="E15" s="73" t="s">
        <v>425</v>
      </c>
      <c r="F15" s="73" t="s">
        <v>426</v>
      </c>
    </row>
    <row r="16" spans="1:6">
      <c r="A16" s="73" t="s">
        <v>427</v>
      </c>
      <c r="B16" s="73" t="s">
        <v>428</v>
      </c>
      <c r="C16" s="73" t="s">
        <v>429</v>
      </c>
      <c r="D16" s="73" t="s">
        <v>430</v>
      </c>
      <c r="E16" s="73" t="s">
        <v>431</v>
      </c>
      <c r="F16" s="73" t="s">
        <v>373</v>
      </c>
    </row>
    <row r="17" spans="1:6">
      <c r="A17" s="73" t="s">
        <v>432</v>
      </c>
      <c r="B17" s="73" t="s">
        <v>433</v>
      </c>
      <c r="C17" s="73" t="s">
        <v>434</v>
      </c>
      <c r="D17" s="73" t="s">
        <v>435</v>
      </c>
      <c r="E17" s="73" t="s">
        <v>436</v>
      </c>
      <c r="F17" s="73" t="s">
        <v>394</v>
      </c>
    </row>
    <row r="18" spans="1:6">
      <c r="A18" s="73" t="s">
        <v>437</v>
      </c>
      <c r="B18" s="73" t="s">
        <v>438</v>
      </c>
      <c r="C18" s="73" t="s">
        <v>439</v>
      </c>
      <c r="D18" s="73" t="s">
        <v>440</v>
      </c>
      <c r="E18" s="73" t="s">
        <v>441</v>
      </c>
      <c r="F18" s="73" t="s">
        <v>442</v>
      </c>
    </row>
    <row r="19" spans="1:6">
      <c r="A19" s="73" t="s">
        <v>443</v>
      </c>
      <c r="B19" s="73" t="s">
        <v>444</v>
      </c>
      <c r="C19" s="73" t="s">
        <v>445</v>
      </c>
      <c r="D19" s="73" t="s">
        <v>446</v>
      </c>
      <c r="E19" s="73" t="s">
        <v>447</v>
      </c>
      <c r="F19" s="73" t="s">
        <v>442</v>
      </c>
    </row>
    <row r="20" spans="1:6">
      <c r="A20" s="73" t="s">
        <v>448</v>
      </c>
      <c r="B20" s="73" t="s">
        <v>449</v>
      </c>
      <c r="C20" s="73" t="s">
        <v>450</v>
      </c>
      <c r="D20" s="73" t="s">
        <v>451</v>
      </c>
      <c r="E20" s="73" t="s">
        <v>452</v>
      </c>
      <c r="F20" s="73" t="s">
        <v>442</v>
      </c>
    </row>
    <row r="21" spans="1:6">
      <c r="A21" s="73" t="s">
        <v>453</v>
      </c>
      <c r="B21" s="73" t="s">
        <v>454</v>
      </c>
      <c r="C21" s="73" t="s">
        <v>455</v>
      </c>
      <c r="D21" s="73" t="s">
        <v>456</v>
      </c>
      <c r="E21" s="73" t="s">
        <v>457</v>
      </c>
      <c r="F21" s="73" t="s">
        <v>442</v>
      </c>
    </row>
    <row r="22" spans="1:6">
      <c r="A22" s="73" t="s">
        <v>458</v>
      </c>
      <c r="B22" s="73" t="s">
        <v>459</v>
      </c>
      <c r="C22" s="73" t="s">
        <v>460</v>
      </c>
      <c r="D22" s="73" t="s">
        <v>461</v>
      </c>
      <c r="E22" s="73" t="s">
        <v>462</v>
      </c>
      <c r="F22" s="73" t="s">
        <v>442</v>
      </c>
    </row>
    <row r="23" spans="1:6">
      <c r="A23" s="73" t="s">
        <v>463</v>
      </c>
      <c r="B23" s="73" t="s">
        <v>464</v>
      </c>
      <c r="C23" s="73" t="s">
        <v>465</v>
      </c>
      <c r="D23" s="73" t="s">
        <v>466</v>
      </c>
      <c r="E23" s="73" t="s">
        <v>467</v>
      </c>
      <c r="F23" s="73" t="s">
        <v>442</v>
      </c>
    </row>
    <row r="24" spans="1:6">
      <c r="A24" s="73" t="s">
        <v>468</v>
      </c>
      <c r="B24" s="73" t="s">
        <v>469</v>
      </c>
      <c r="C24" s="73" t="s">
        <v>470</v>
      </c>
      <c r="D24" s="73" t="s">
        <v>471</v>
      </c>
      <c r="E24" s="73" t="s">
        <v>472</v>
      </c>
      <c r="F24" s="73" t="s">
        <v>442</v>
      </c>
    </row>
    <row r="25" spans="1:6">
      <c r="A25" s="73" t="s">
        <v>473</v>
      </c>
      <c r="B25" s="73" t="s">
        <v>474</v>
      </c>
      <c r="C25" s="73" t="s">
        <v>475</v>
      </c>
      <c r="D25" s="73" t="s">
        <v>476</v>
      </c>
      <c r="E25" s="73" t="s">
        <v>477</v>
      </c>
      <c r="F25" s="73" t="s">
        <v>442</v>
      </c>
    </row>
    <row r="26" spans="1:6">
      <c r="A26" s="73" t="s">
        <v>478</v>
      </c>
      <c r="B26" s="73" t="s">
        <v>479</v>
      </c>
      <c r="C26" s="73" t="s">
        <v>480</v>
      </c>
      <c r="D26" s="73" t="s">
        <v>481</v>
      </c>
      <c r="E26" s="73" t="s">
        <v>482</v>
      </c>
      <c r="F26" s="73" t="s">
        <v>442</v>
      </c>
    </row>
    <row r="27" spans="1:6">
      <c r="A27" s="73" t="s">
        <v>483</v>
      </c>
      <c r="B27" s="73" t="s">
        <v>484</v>
      </c>
      <c r="C27" s="73" t="s">
        <v>485</v>
      </c>
      <c r="D27" s="73" t="s">
        <v>486</v>
      </c>
      <c r="E27" s="73" t="s">
        <v>487</v>
      </c>
      <c r="F27" s="73" t="s">
        <v>442</v>
      </c>
    </row>
    <row r="28" spans="1:6">
      <c r="A28" s="73" t="s">
        <v>488</v>
      </c>
      <c r="B28" s="73" t="s">
        <v>489</v>
      </c>
      <c r="C28" s="73" t="s">
        <v>490</v>
      </c>
      <c r="D28" s="73" t="s">
        <v>491</v>
      </c>
      <c r="E28" s="73" t="s">
        <v>492</v>
      </c>
      <c r="F28" s="73" t="s">
        <v>442</v>
      </c>
    </row>
    <row r="29" spans="1:6">
      <c r="A29" s="73" t="s">
        <v>493</v>
      </c>
      <c r="B29" s="73" t="s">
        <v>494</v>
      </c>
      <c r="C29" s="73" t="s">
        <v>495</v>
      </c>
      <c r="D29" s="73" t="s">
        <v>496</v>
      </c>
      <c r="E29" s="73" t="s">
        <v>497</v>
      </c>
      <c r="F29" s="73" t="s">
        <v>442</v>
      </c>
    </row>
    <row r="30" spans="1:6">
      <c r="A30" s="73" t="s">
        <v>498</v>
      </c>
      <c r="B30" s="73" t="s">
        <v>499</v>
      </c>
      <c r="C30" s="73" t="s">
        <v>500</v>
      </c>
      <c r="D30" s="73" t="s">
        <v>501</v>
      </c>
      <c r="E30" s="73" t="s">
        <v>502</v>
      </c>
      <c r="F30" s="73" t="s">
        <v>442</v>
      </c>
    </row>
    <row r="31" spans="1:6">
      <c r="A31" s="73" t="s">
        <v>503</v>
      </c>
      <c r="B31" s="73" t="s">
        <v>504</v>
      </c>
      <c r="C31" s="73" t="s">
        <v>505</v>
      </c>
      <c r="D31" s="73" t="s">
        <v>506</v>
      </c>
      <c r="E31" s="73" t="s">
        <v>507</v>
      </c>
      <c r="F31" s="73" t="s">
        <v>442</v>
      </c>
    </row>
    <row r="32" spans="1:6">
      <c r="A32" s="73" t="s">
        <v>508</v>
      </c>
      <c r="B32" s="73" t="s">
        <v>509</v>
      </c>
      <c r="C32" s="73" t="s">
        <v>510</v>
      </c>
      <c r="D32" s="73" t="s">
        <v>511</v>
      </c>
      <c r="E32" s="73" t="s">
        <v>512</v>
      </c>
      <c r="F32" s="73" t="s">
        <v>442</v>
      </c>
    </row>
    <row r="33" spans="1:6">
      <c r="A33" s="73" t="s">
        <v>513</v>
      </c>
      <c r="B33" s="73" t="s">
        <v>514</v>
      </c>
      <c r="C33" s="73" t="s">
        <v>515</v>
      </c>
      <c r="D33" s="73" t="s">
        <v>516</v>
      </c>
      <c r="E33" s="73" t="s">
        <v>517</v>
      </c>
      <c r="F33" s="73" t="s">
        <v>442</v>
      </c>
    </row>
    <row r="34" spans="1:6">
      <c r="A34" s="73" t="s">
        <v>518</v>
      </c>
      <c r="B34" s="73" t="s">
        <v>519</v>
      </c>
      <c r="C34" s="73" t="s">
        <v>520</v>
      </c>
      <c r="D34" s="73" t="s">
        <v>521</v>
      </c>
      <c r="E34" s="73" t="s">
        <v>522</v>
      </c>
      <c r="F34" s="73" t="s">
        <v>442</v>
      </c>
    </row>
    <row r="35" spans="1:6">
      <c r="A35" s="73" t="s">
        <v>523</v>
      </c>
      <c r="B35" s="73" t="s">
        <v>524</v>
      </c>
      <c r="C35" s="73" t="s">
        <v>525</v>
      </c>
      <c r="D35" s="73" t="s">
        <v>526</v>
      </c>
      <c r="E35" s="73" t="s">
        <v>527</v>
      </c>
      <c r="F35" s="73" t="s">
        <v>442</v>
      </c>
    </row>
    <row r="36" spans="1:6">
      <c r="A36" s="73" t="s">
        <v>528</v>
      </c>
      <c r="B36" s="73" t="s">
        <v>529</v>
      </c>
      <c r="C36" s="73" t="s">
        <v>530</v>
      </c>
      <c r="D36" s="73" t="s">
        <v>531</v>
      </c>
      <c r="E36" s="73" t="s">
        <v>532</v>
      </c>
      <c r="F36" s="73" t="s">
        <v>442</v>
      </c>
    </row>
    <row r="37" spans="1:6">
      <c r="A37" s="73" t="s">
        <v>533</v>
      </c>
      <c r="B37" s="73" t="s">
        <v>534</v>
      </c>
      <c r="C37" s="73" t="s">
        <v>535</v>
      </c>
      <c r="D37" s="73" t="s">
        <v>536</v>
      </c>
      <c r="E37" s="73" t="s">
        <v>537</v>
      </c>
      <c r="F37" s="73" t="s">
        <v>442</v>
      </c>
    </row>
    <row r="38" spans="1:6">
      <c r="A38" s="73" t="s">
        <v>538</v>
      </c>
      <c r="B38" s="73" t="s">
        <v>539</v>
      </c>
      <c r="C38" s="73" t="s">
        <v>540</v>
      </c>
      <c r="D38" s="73" t="s">
        <v>541</v>
      </c>
      <c r="E38" s="73" t="s">
        <v>542</v>
      </c>
      <c r="F38" s="73" t="s">
        <v>394</v>
      </c>
    </row>
    <row r="39" spans="1:6">
      <c r="A39" s="73" t="s">
        <v>543</v>
      </c>
      <c r="B39" s="73" t="s">
        <v>544</v>
      </c>
      <c r="C39" s="73" t="s">
        <v>545</v>
      </c>
      <c r="D39" s="73" t="s">
        <v>546</v>
      </c>
      <c r="E39" s="73" t="s">
        <v>547</v>
      </c>
      <c r="F39" s="73" t="s">
        <v>442</v>
      </c>
    </row>
    <row r="40" spans="1:6">
      <c r="A40" s="73" t="s">
        <v>548</v>
      </c>
      <c r="B40" s="73" t="s">
        <v>549</v>
      </c>
      <c r="C40" s="73" t="s">
        <v>550</v>
      </c>
      <c r="D40" s="73" t="s">
        <v>551</v>
      </c>
      <c r="E40" s="73" t="s">
        <v>552</v>
      </c>
      <c r="F40" s="73"/>
    </row>
    <row r="41" spans="1:6">
      <c r="A41" s="73" t="s">
        <v>553</v>
      </c>
      <c r="B41" s="73" t="s">
        <v>554</v>
      </c>
      <c r="C41" s="73" t="s">
        <v>555</v>
      </c>
      <c r="D41" s="73" t="s">
        <v>556</v>
      </c>
      <c r="E41" s="73" t="s">
        <v>557</v>
      </c>
      <c r="F41" s="73" t="s">
        <v>442</v>
      </c>
    </row>
    <row r="42" spans="1:6">
      <c r="A42" s="73" t="s">
        <v>558</v>
      </c>
      <c r="B42" s="73" t="s">
        <v>559</v>
      </c>
      <c r="C42" s="73" t="s">
        <v>560</v>
      </c>
      <c r="D42" s="73" t="s">
        <v>561</v>
      </c>
      <c r="E42" s="73" t="s">
        <v>562</v>
      </c>
      <c r="F42" s="73" t="s">
        <v>442</v>
      </c>
    </row>
    <row r="43" spans="1:6">
      <c r="A43" s="73" t="s">
        <v>563</v>
      </c>
      <c r="B43" s="73" t="s">
        <v>564</v>
      </c>
      <c r="C43" s="73" t="s">
        <v>565</v>
      </c>
      <c r="D43" s="73" t="s">
        <v>566</v>
      </c>
      <c r="E43" s="73" t="s">
        <v>567</v>
      </c>
      <c r="F43" s="73" t="s">
        <v>442</v>
      </c>
    </row>
    <row r="44" spans="1:6">
      <c r="A44" s="73" t="s">
        <v>568</v>
      </c>
      <c r="B44" s="73" t="s">
        <v>569</v>
      </c>
      <c r="C44" s="73" t="s">
        <v>570</v>
      </c>
      <c r="D44" s="73" t="s">
        <v>571</v>
      </c>
      <c r="E44" s="73" t="s">
        <v>572</v>
      </c>
      <c r="F44" s="73" t="s">
        <v>442</v>
      </c>
    </row>
    <row r="45" spans="1:6">
      <c r="A45" s="73" t="s">
        <v>573</v>
      </c>
      <c r="B45" s="73" t="s">
        <v>574</v>
      </c>
      <c r="C45" s="73" t="s">
        <v>575</v>
      </c>
      <c r="D45" s="73" t="s">
        <v>576</v>
      </c>
      <c r="E45" s="73" t="s">
        <v>577</v>
      </c>
      <c r="F45" s="73" t="s">
        <v>442</v>
      </c>
    </row>
    <row r="46" spans="1:6">
      <c r="A46" s="73" t="s">
        <v>578</v>
      </c>
      <c r="B46" s="73" t="s">
        <v>579</v>
      </c>
      <c r="C46" s="73" t="s">
        <v>580</v>
      </c>
      <c r="D46" s="73" t="s">
        <v>581</v>
      </c>
      <c r="E46" s="73" t="s">
        <v>582</v>
      </c>
      <c r="F46" s="73" t="s">
        <v>442</v>
      </c>
    </row>
    <row r="47" spans="1:6">
      <c r="A47" s="73" t="s">
        <v>583</v>
      </c>
      <c r="B47" s="73" t="s">
        <v>584</v>
      </c>
      <c r="C47" s="73" t="s">
        <v>585</v>
      </c>
      <c r="D47" s="73" t="s">
        <v>586</v>
      </c>
      <c r="E47" s="73" t="s">
        <v>587</v>
      </c>
      <c r="F47" s="73" t="s">
        <v>442</v>
      </c>
    </row>
    <row r="48" spans="1:6">
      <c r="A48" s="73" t="s">
        <v>588</v>
      </c>
      <c r="B48" s="73" t="s">
        <v>589</v>
      </c>
      <c r="C48" s="73" t="s">
        <v>590</v>
      </c>
      <c r="D48" s="73" t="s">
        <v>591</v>
      </c>
      <c r="E48" s="73" t="s">
        <v>592</v>
      </c>
      <c r="F48" s="73" t="s">
        <v>442</v>
      </c>
    </row>
    <row r="49" spans="1:6">
      <c r="A49" s="73" t="s">
        <v>593</v>
      </c>
      <c r="B49" s="73" t="s">
        <v>594</v>
      </c>
      <c r="C49" s="73" t="s">
        <v>595</v>
      </c>
      <c r="D49" s="73" t="s">
        <v>596</v>
      </c>
      <c r="E49" s="73" t="s">
        <v>597</v>
      </c>
      <c r="F49" s="73" t="s">
        <v>394</v>
      </c>
    </row>
    <row r="50" spans="1:6">
      <c r="A50" s="73" t="s">
        <v>598</v>
      </c>
      <c r="B50" s="73" t="s">
        <v>599</v>
      </c>
      <c r="C50" s="73"/>
      <c r="D50" s="73" t="s">
        <v>600</v>
      </c>
      <c r="E50" s="73" t="s">
        <v>601</v>
      </c>
      <c r="F50" s="73" t="s">
        <v>442</v>
      </c>
    </row>
    <row r="51" spans="1:6">
      <c r="A51" s="73" t="s">
        <v>602</v>
      </c>
      <c r="B51" s="73" t="s">
        <v>603</v>
      </c>
      <c r="C51" s="73"/>
      <c r="D51" s="73" t="s">
        <v>604</v>
      </c>
      <c r="E51" s="73" t="s">
        <v>605</v>
      </c>
      <c r="F51" s="73"/>
    </row>
    <row r="52" spans="1:6">
      <c r="A52" s="73" t="s">
        <v>606</v>
      </c>
      <c r="B52" s="73" t="s">
        <v>607</v>
      </c>
      <c r="C52" s="73"/>
      <c r="D52" s="73" t="s">
        <v>608</v>
      </c>
      <c r="E52" s="73" t="s">
        <v>609</v>
      </c>
      <c r="F52" s="73" t="s">
        <v>442</v>
      </c>
    </row>
    <row r="53" spans="1:6">
      <c r="A53" s="73" t="s">
        <v>610</v>
      </c>
      <c r="B53" s="73" t="s">
        <v>611</v>
      </c>
      <c r="C53" s="73"/>
      <c r="D53" s="73" t="s">
        <v>612</v>
      </c>
      <c r="E53" s="73" t="s">
        <v>613</v>
      </c>
      <c r="F53" s="73" t="s">
        <v>442</v>
      </c>
    </row>
    <row r="54" spans="1:6">
      <c r="A54" s="73" t="s">
        <v>614</v>
      </c>
      <c r="B54" s="73" t="s">
        <v>615</v>
      </c>
      <c r="C54" s="73"/>
      <c r="D54" s="73" t="s">
        <v>616</v>
      </c>
      <c r="E54" s="73" t="s">
        <v>617</v>
      </c>
      <c r="F54" s="73" t="s">
        <v>394</v>
      </c>
    </row>
    <row r="55" spans="1:6">
      <c r="A55" s="73" t="s">
        <v>618</v>
      </c>
      <c r="B55" s="73" t="s">
        <v>619</v>
      </c>
      <c r="C55" s="73"/>
      <c r="D55" s="73" t="s">
        <v>620</v>
      </c>
      <c r="E55" s="73" t="s">
        <v>621</v>
      </c>
      <c r="F55" s="73" t="s">
        <v>442</v>
      </c>
    </row>
    <row r="56" spans="1:6">
      <c r="A56" s="73" t="s">
        <v>622</v>
      </c>
      <c r="B56" s="73" t="s">
        <v>623</v>
      </c>
      <c r="C56" s="73"/>
      <c r="D56" s="73" t="s">
        <v>624</v>
      </c>
      <c r="E56" s="73" t="s">
        <v>625</v>
      </c>
      <c r="F56" s="73" t="s">
        <v>442</v>
      </c>
    </row>
    <row r="57" spans="1:6">
      <c r="A57" s="73" t="s">
        <v>626</v>
      </c>
      <c r="B57" s="73" t="s">
        <v>627</v>
      </c>
      <c r="C57" s="73"/>
      <c r="D57" s="73" t="s">
        <v>628</v>
      </c>
      <c r="E57" s="73" t="s">
        <v>629</v>
      </c>
      <c r="F57" s="73" t="s">
        <v>442</v>
      </c>
    </row>
    <row r="58" spans="1:6">
      <c r="A58" s="73" t="s">
        <v>630</v>
      </c>
      <c r="B58" s="73" t="s">
        <v>631</v>
      </c>
      <c r="C58" s="73"/>
      <c r="D58" s="73" t="s">
        <v>632</v>
      </c>
      <c r="E58" s="73" t="s">
        <v>633</v>
      </c>
      <c r="F58" s="73" t="s">
        <v>442</v>
      </c>
    </row>
    <row r="59" spans="1:6">
      <c r="A59" s="73" t="s">
        <v>634</v>
      </c>
      <c r="B59" s="73" t="s">
        <v>635</v>
      </c>
      <c r="C59" s="73"/>
      <c r="D59" s="73" t="s">
        <v>636</v>
      </c>
      <c r="E59" s="73" t="s">
        <v>637</v>
      </c>
      <c r="F59" s="73" t="s">
        <v>442</v>
      </c>
    </row>
    <row r="60" spans="1:6">
      <c r="A60" s="73" t="s">
        <v>638</v>
      </c>
      <c r="B60" s="73" t="s">
        <v>639</v>
      </c>
      <c r="C60" s="73"/>
      <c r="D60" s="73" t="s">
        <v>640</v>
      </c>
      <c r="E60" s="73" t="s">
        <v>641</v>
      </c>
      <c r="F60" s="73" t="s">
        <v>442</v>
      </c>
    </row>
    <row r="61" spans="1:6">
      <c r="A61" s="73" t="s">
        <v>642</v>
      </c>
      <c r="B61" s="73" t="s">
        <v>643</v>
      </c>
      <c r="C61" s="73"/>
      <c r="D61" s="73" t="s">
        <v>644</v>
      </c>
      <c r="E61" s="73" t="s">
        <v>645</v>
      </c>
      <c r="F61" s="73" t="s">
        <v>442</v>
      </c>
    </row>
    <row r="62" spans="1:6">
      <c r="A62" s="73" t="s">
        <v>646</v>
      </c>
      <c r="B62" s="73" t="s">
        <v>647</v>
      </c>
      <c r="C62" s="73"/>
      <c r="D62" s="73" t="s">
        <v>648</v>
      </c>
      <c r="E62" s="73" t="s">
        <v>649</v>
      </c>
      <c r="F62" s="73" t="s">
        <v>442</v>
      </c>
    </row>
    <row r="63" spans="1:6">
      <c r="A63" s="73" t="s">
        <v>650</v>
      </c>
      <c r="B63" s="73" t="s">
        <v>651</v>
      </c>
      <c r="C63" s="73"/>
      <c r="D63" s="73" t="s">
        <v>652</v>
      </c>
      <c r="E63" s="73" t="s">
        <v>653</v>
      </c>
      <c r="F63" s="73" t="s">
        <v>442</v>
      </c>
    </row>
    <row r="64" spans="1:6">
      <c r="A64" s="73" t="s">
        <v>654</v>
      </c>
      <c r="B64" s="73" t="s">
        <v>655</v>
      </c>
      <c r="C64" s="73"/>
      <c r="D64" s="73" t="s">
        <v>656</v>
      </c>
      <c r="E64" s="73" t="s">
        <v>657</v>
      </c>
      <c r="F64" s="73" t="s">
        <v>442</v>
      </c>
    </row>
    <row r="65" spans="1:6">
      <c r="A65" s="73" t="s">
        <v>658</v>
      </c>
      <c r="B65" s="73" t="s">
        <v>659</v>
      </c>
      <c r="C65" s="73"/>
      <c r="D65" s="73" t="s">
        <v>660</v>
      </c>
      <c r="E65" s="73" t="s">
        <v>661</v>
      </c>
      <c r="F65" s="73" t="s">
        <v>442</v>
      </c>
    </row>
    <row r="66" spans="1:6">
      <c r="A66" s="73" t="s">
        <v>662</v>
      </c>
      <c r="B66" s="73" t="s">
        <v>663</v>
      </c>
      <c r="C66" s="73"/>
      <c r="D66" s="73" t="s">
        <v>664</v>
      </c>
      <c r="E66" s="73" t="s">
        <v>665</v>
      </c>
      <c r="F66" s="73" t="s">
        <v>394</v>
      </c>
    </row>
    <row r="67" spans="1:6">
      <c r="A67" s="73" t="s">
        <v>666</v>
      </c>
      <c r="B67" s="73" t="s">
        <v>667</v>
      </c>
      <c r="C67" s="73"/>
      <c r="D67" s="73" t="s">
        <v>668</v>
      </c>
      <c r="E67" s="73" t="s">
        <v>669</v>
      </c>
      <c r="F67" s="73" t="s">
        <v>442</v>
      </c>
    </row>
    <row r="68" spans="1:6">
      <c r="A68" s="73" t="s">
        <v>670</v>
      </c>
      <c r="B68" s="73" t="s">
        <v>671</v>
      </c>
      <c r="C68" s="73"/>
      <c r="D68" s="73" t="s">
        <v>672</v>
      </c>
      <c r="E68" s="73" t="s">
        <v>673</v>
      </c>
      <c r="F68" s="73" t="s">
        <v>442</v>
      </c>
    </row>
    <row r="69" spans="1:6">
      <c r="A69" s="73" t="s">
        <v>674</v>
      </c>
      <c r="B69" s="73" t="s">
        <v>675</v>
      </c>
      <c r="C69" s="73"/>
      <c r="D69" s="73" t="s">
        <v>676</v>
      </c>
      <c r="E69" s="73" t="s">
        <v>677</v>
      </c>
      <c r="F69" s="73" t="s">
        <v>442</v>
      </c>
    </row>
    <row r="70" spans="1:6">
      <c r="A70" s="73" t="s">
        <v>678</v>
      </c>
      <c r="B70" s="73" t="s">
        <v>679</v>
      </c>
      <c r="C70" s="73"/>
      <c r="D70" s="73" t="s">
        <v>680</v>
      </c>
      <c r="E70" s="73" t="s">
        <v>681</v>
      </c>
      <c r="F70" s="73" t="s">
        <v>394</v>
      </c>
    </row>
    <row r="71" spans="1:6">
      <c r="A71" s="73" t="s">
        <v>682</v>
      </c>
      <c r="B71" s="73" t="s">
        <v>683</v>
      </c>
      <c r="C71" s="73"/>
      <c r="D71" s="73" t="s">
        <v>684</v>
      </c>
      <c r="E71" s="73" t="s">
        <v>685</v>
      </c>
      <c r="F71" s="73" t="s">
        <v>356</v>
      </c>
    </row>
    <row r="72" spans="1:6">
      <c r="A72" s="73" t="s">
        <v>686</v>
      </c>
      <c r="B72" s="73" t="s">
        <v>687</v>
      </c>
      <c r="C72" s="73"/>
      <c r="D72" s="73" t="s">
        <v>688</v>
      </c>
      <c r="E72" s="73" t="s">
        <v>689</v>
      </c>
      <c r="F72" s="73" t="s">
        <v>394</v>
      </c>
    </row>
    <row r="73" spans="1:6">
      <c r="A73" s="73" t="s">
        <v>690</v>
      </c>
      <c r="B73" s="73" t="s">
        <v>691</v>
      </c>
      <c r="C73" s="73"/>
      <c r="D73" s="73" t="s">
        <v>692</v>
      </c>
      <c r="E73" s="73" t="s">
        <v>693</v>
      </c>
      <c r="F73" s="73" t="s">
        <v>394</v>
      </c>
    </row>
    <row r="74" spans="1:6">
      <c r="A74" s="73" t="s">
        <v>694</v>
      </c>
      <c r="B74" s="73" t="s">
        <v>695</v>
      </c>
      <c r="C74" s="73"/>
      <c r="D74" s="73" t="s">
        <v>696</v>
      </c>
      <c r="E74" s="73" t="s">
        <v>697</v>
      </c>
      <c r="F74" s="73" t="s">
        <v>394</v>
      </c>
    </row>
    <row r="75" spans="1:6">
      <c r="A75" s="73"/>
      <c r="B75" s="73" t="s">
        <v>698</v>
      </c>
      <c r="C75" s="73"/>
      <c r="D75" s="73" t="s">
        <v>699</v>
      </c>
      <c r="E75" s="73" t="s">
        <v>700</v>
      </c>
      <c r="F75" s="73" t="s">
        <v>394</v>
      </c>
    </row>
    <row r="76" spans="1:6">
      <c r="A76" s="73"/>
      <c r="B76" s="73"/>
      <c r="C76" s="73"/>
      <c r="D76" s="73" t="s">
        <v>701</v>
      </c>
      <c r="E76" s="73" t="s">
        <v>702</v>
      </c>
      <c r="F76" s="73" t="s">
        <v>394</v>
      </c>
    </row>
    <row r="77" spans="1:6">
      <c r="A77" s="73"/>
      <c r="B77" s="73"/>
      <c r="C77" s="73"/>
      <c r="D77" s="73" t="s">
        <v>703</v>
      </c>
      <c r="E77" s="73" t="s">
        <v>704</v>
      </c>
      <c r="F77" s="73"/>
    </row>
    <row r="78" spans="1:6">
      <c r="A78" s="73"/>
      <c r="B78" s="73"/>
      <c r="C78" s="73"/>
      <c r="D78" s="73" t="s">
        <v>705</v>
      </c>
      <c r="E78" s="73" t="s">
        <v>706</v>
      </c>
      <c r="F78" s="73" t="s">
        <v>356</v>
      </c>
    </row>
    <row r="79" spans="1:6">
      <c r="A79" s="73"/>
      <c r="B79" s="73"/>
      <c r="C79" s="73"/>
      <c r="D79" s="73" t="s">
        <v>707</v>
      </c>
      <c r="E79" s="73" t="s">
        <v>708</v>
      </c>
      <c r="F79" s="73" t="s">
        <v>367</v>
      </c>
    </row>
    <row r="80" spans="1:6">
      <c r="A80" s="73"/>
      <c r="B80" s="73"/>
      <c r="C80" s="73"/>
      <c r="D80" s="73" t="s">
        <v>709</v>
      </c>
      <c r="E80" s="73" t="s">
        <v>710</v>
      </c>
      <c r="F80" s="73" t="s">
        <v>400</v>
      </c>
    </row>
    <row r="81" spans="1:6">
      <c r="A81" s="73"/>
      <c r="B81" s="73"/>
      <c r="C81" s="73"/>
      <c r="D81" s="73" t="s">
        <v>711</v>
      </c>
      <c r="E81" s="73" t="s">
        <v>712</v>
      </c>
      <c r="F81" s="73" t="s">
        <v>442</v>
      </c>
    </row>
    <row r="82" spans="1:6">
      <c r="A82" s="73"/>
      <c r="B82" s="73"/>
      <c r="C82" s="73"/>
      <c r="D82" s="73" t="s">
        <v>713</v>
      </c>
      <c r="E82" s="73" t="s">
        <v>714</v>
      </c>
      <c r="F82" s="73" t="s">
        <v>356</v>
      </c>
    </row>
    <row r="83" spans="1:6">
      <c r="A83" s="73"/>
      <c r="B83" s="73"/>
      <c r="C83" s="73"/>
      <c r="D83" s="73" t="s">
        <v>713</v>
      </c>
      <c r="E83" s="73" t="s">
        <v>715</v>
      </c>
      <c r="F83" s="73" t="s">
        <v>367</v>
      </c>
    </row>
    <row r="84" spans="1:6">
      <c r="A84" s="73"/>
      <c r="B84" s="73"/>
      <c r="C84" s="73"/>
      <c r="D84" s="73" t="s">
        <v>713</v>
      </c>
      <c r="E84" s="73" t="s">
        <v>716</v>
      </c>
      <c r="F84" s="73" t="s">
        <v>400</v>
      </c>
    </row>
    <row r="85" spans="1:6">
      <c r="A85" s="73"/>
      <c r="B85" s="73"/>
      <c r="C85" s="73"/>
      <c r="D85" s="73" t="s">
        <v>713</v>
      </c>
      <c r="E85" s="73" t="s">
        <v>717</v>
      </c>
      <c r="F85" s="73" t="s">
        <v>442</v>
      </c>
    </row>
    <row r="86" spans="1:6">
      <c r="A86" s="73"/>
      <c r="B86" s="73"/>
      <c r="C86" s="73"/>
      <c r="D86" s="73" t="s">
        <v>718</v>
      </c>
      <c r="E86" s="73" t="s">
        <v>719</v>
      </c>
      <c r="F86" s="73" t="s">
        <v>356</v>
      </c>
    </row>
    <row r="87" spans="1:6">
      <c r="A87" s="73"/>
      <c r="B87" s="73"/>
      <c r="C87" s="73"/>
      <c r="D87" s="73" t="s">
        <v>718</v>
      </c>
      <c r="E87" s="73" t="s">
        <v>720</v>
      </c>
      <c r="F87" s="73" t="s">
        <v>367</v>
      </c>
    </row>
    <row r="88" spans="1:6">
      <c r="A88" s="73"/>
      <c r="B88" s="73"/>
      <c r="C88" s="73"/>
      <c r="D88" s="73" t="s">
        <v>718</v>
      </c>
      <c r="E88" s="73" t="s">
        <v>721</v>
      </c>
      <c r="F88" s="73" t="s">
        <v>400</v>
      </c>
    </row>
    <row r="89" spans="1:6">
      <c r="A89" s="73"/>
      <c r="B89" s="73"/>
      <c r="C89" s="73"/>
      <c r="D89" s="73" t="s">
        <v>718</v>
      </c>
      <c r="E89" s="73" t="s">
        <v>722</v>
      </c>
      <c r="F89" s="73" t="s">
        <v>373</v>
      </c>
    </row>
    <row r="90" spans="1:6">
      <c r="A90" s="73"/>
      <c r="B90" s="73"/>
      <c r="C90" s="73"/>
      <c r="D90" s="73" t="s">
        <v>723</v>
      </c>
      <c r="E90" s="73" t="s">
        <v>724</v>
      </c>
      <c r="F90" s="73" t="s">
        <v>356</v>
      </c>
    </row>
    <row r="91" spans="1:6">
      <c r="A91" s="73"/>
      <c r="B91" s="73"/>
      <c r="C91" s="73"/>
      <c r="D91" s="73" t="s">
        <v>723</v>
      </c>
      <c r="E91" s="73" t="s">
        <v>725</v>
      </c>
      <c r="F91" s="73" t="s">
        <v>367</v>
      </c>
    </row>
    <row r="92" spans="1:6">
      <c r="A92" s="73"/>
      <c r="B92" s="73"/>
      <c r="C92" s="73"/>
      <c r="D92" s="73" t="s">
        <v>723</v>
      </c>
      <c r="E92" s="73" t="s">
        <v>726</v>
      </c>
      <c r="F92" s="73" t="s">
        <v>400</v>
      </c>
    </row>
    <row r="93" spans="1:6">
      <c r="A93" s="73"/>
      <c r="B93" s="73"/>
      <c r="C93" s="73"/>
      <c r="D93" s="73" t="s">
        <v>723</v>
      </c>
      <c r="E93" s="73" t="s">
        <v>727</v>
      </c>
      <c r="F93" s="73" t="s">
        <v>442</v>
      </c>
    </row>
    <row r="94" spans="1:6">
      <c r="A94" s="73"/>
      <c r="B94" s="73"/>
      <c r="C94" s="73"/>
      <c r="D94" s="73" t="s">
        <v>728</v>
      </c>
      <c r="E94" s="73" t="s">
        <v>729</v>
      </c>
      <c r="F94" s="73" t="s">
        <v>356</v>
      </c>
    </row>
    <row r="95" spans="1:6">
      <c r="A95" s="73"/>
      <c r="B95" s="73"/>
      <c r="C95" s="73"/>
      <c r="D95" s="73" t="s">
        <v>728</v>
      </c>
      <c r="E95" s="73" t="s">
        <v>730</v>
      </c>
      <c r="F95" s="73" t="s">
        <v>367</v>
      </c>
    </row>
    <row r="96" spans="1:6">
      <c r="A96" s="73"/>
      <c r="B96" s="73"/>
      <c r="C96" s="73"/>
      <c r="D96" s="73" t="s">
        <v>728</v>
      </c>
      <c r="E96" s="73" t="s">
        <v>731</v>
      </c>
      <c r="F96" s="73" t="s">
        <v>400</v>
      </c>
    </row>
    <row r="97" spans="1:6">
      <c r="A97" s="73"/>
      <c r="B97" s="73"/>
      <c r="C97" s="73"/>
      <c r="D97" s="73" t="s">
        <v>728</v>
      </c>
      <c r="E97" s="73" t="s">
        <v>732</v>
      </c>
      <c r="F97" s="73" t="s">
        <v>373</v>
      </c>
    </row>
    <row r="98" spans="1:6">
      <c r="A98" s="73"/>
      <c r="B98" s="73"/>
      <c r="C98" s="73"/>
      <c r="D98" s="73" t="s">
        <v>733</v>
      </c>
      <c r="E98" s="73" t="s">
        <v>734</v>
      </c>
      <c r="F98" s="73" t="s">
        <v>356</v>
      </c>
    </row>
    <row r="99" spans="1:6">
      <c r="A99" s="73"/>
      <c r="B99" s="73"/>
      <c r="C99" s="73"/>
      <c r="D99" s="73" t="s">
        <v>733</v>
      </c>
      <c r="E99" s="73" t="s">
        <v>735</v>
      </c>
      <c r="F99" s="73" t="s">
        <v>367</v>
      </c>
    </row>
    <row r="100" spans="1:6">
      <c r="A100" s="73"/>
      <c r="B100" s="73"/>
      <c r="C100" s="73"/>
      <c r="D100" s="73" t="s">
        <v>733</v>
      </c>
      <c r="E100" s="73" t="s">
        <v>736</v>
      </c>
      <c r="F100" s="73" t="s">
        <v>400</v>
      </c>
    </row>
    <row r="101" spans="1:6">
      <c r="A101" s="73"/>
      <c r="B101" s="73"/>
      <c r="C101" s="73"/>
      <c r="D101" s="73" t="s">
        <v>733</v>
      </c>
      <c r="E101" s="73" t="s">
        <v>737</v>
      </c>
      <c r="F101" s="73" t="s">
        <v>373</v>
      </c>
    </row>
    <row r="102" spans="1:6">
      <c r="A102" s="73"/>
      <c r="B102" s="73"/>
      <c r="C102" s="73"/>
      <c r="D102" s="73" t="s">
        <v>738</v>
      </c>
      <c r="E102" s="73" t="s">
        <v>739</v>
      </c>
      <c r="F102" s="73" t="s">
        <v>356</v>
      </c>
    </row>
    <row r="103" spans="1:6">
      <c r="A103" s="73"/>
      <c r="B103" s="73"/>
      <c r="C103" s="73"/>
      <c r="D103" s="73" t="s">
        <v>738</v>
      </c>
      <c r="E103" s="73" t="s">
        <v>740</v>
      </c>
      <c r="F103" s="73" t="s">
        <v>367</v>
      </c>
    </row>
    <row r="104" spans="1:6">
      <c r="A104" s="73"/>
      <c r="B104" s="73"/>
      <c r="D104" s="73" t="s">
        <v>738</v>
      </c>
      <c r="E104" s="73" t="s">
        <v>741</v>
      </c>
      <c r="F104" s="73" t="s">
        <v>400</v>
      </c>
    </row>
    <row r="105" spans="1:6">
      <c r="A105" s="73"/>
      <c r="B105" s="73"/>
      <c r="D105" s="73" t="s">
        <v>738</v>
      </c>
      <c r="E105" s="73" t="s">
        <v>742</v>
      </c>
      <c r="F105" s="73" t="s">
        <v>373</v>
      </c>
    </row>
    <row r="106" spans="1:6">
      <c r="A106" s="73"/>
      <c r="B106" s="73"/>
      <c r="D106" s="73" t="s">
        <v>743</v>
      </c>
      <c r="E106" s="73" t="s">
        <v>744</v>
      </c>
      <c r="F106" s="73" t="s">
        <v>367</v>
      </c>
    </row>
  </sheetData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"/>
  <sheetViews>
    <sheetView workbookViewId="0">
      <selection activeCell="P23" sqref="P23"/>
    </sheetView>
  </sheetViews>
  <sheetFormatPr defaultColWidth="9" defaultRowHeight="13.2"/>
  <cols>
    <col min="1" max="4" width="5.875" style="20" customWidth="1"/>
    <col min="5" max="12" width="7.625" style="21" customWidth="1"/>
    <col min="13" max="13" width="5.375" style="22" customWidth="1"/>
    <col min="14" max="15" width="17.5" style="22" customWidth="1"/>
    <col min="16" max="16" width="25.25" style="22" customWidth="1"/>
    <col min="17" max="17" width="21.125" style="22" customWidth="1"/>
    <col min="18" max="18" width="13" style="22" customWidth="1"/>
    <col min="19" max="19" width="12.25" style="22" customWidth="1"/>
    <col min="20" max="20" width="17.875" style="22" customWidth="1"/>
    <col min="21" max="28" width="8" style="22" customWidth="1"/>
    <col min="29" max="16384" width="9" style="22"/>
  </cols>
  <sheetData>
    <row r="1" s="19" customFormat="1" ht="20.1" customHeight="1" spans="1:20">
      <c r="A1" s="23" t="s">
        <v>745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N1" s="69" t="s">
        <v>746</v>
      </c>
      <c r="O1" s="69"/>
      <c r="P1" s="69"/>
      <c r="Q1" s="69"/>
      <c r="R1" s="69"/>
      <c r="S1" s="69"/>
      <c r="T1" s="69" t="s">
        <v>747</v>
      </c>
    </row>
    <row r="2" s="19" customFormat="1" ht="24.75" customHeight="1" spans="1:20">
      <c r="A2" s="24" t="s">
        <v>748</v>
      </c>
      <c r="B2" s="25"/>
      <c r="C2" s="25"/>
      <c r="D2" s="26"/>
      <c r="E2" s="27" t="s">
        <v>749</v>
      </c>
      <c r="F2" s="27"/>
      <c r="G2" s="27"/>
      <c r="H2" s="27"/>
      <c r="I2" s="27"/>
      <c r="J2" s="27"/>
      <c r="K2" s="27"/>
      <c r="L2" s="27"/>
      <c r="N2" s="70" t="s">
        <v>750</v>
      </c>
      <c r="O2" s="70" t="s">
        <v>751</v>
      </c>
      <c r="P2" s="70" t="s">
        <v>36</v>
      </c>
      <c r="Q2" s="70" t="s">
        <v>752</v>
      </c>
      <c r="R2" s="80" t="s">
        <v>753</v>
      </c>
      <c r="S2" s="70" t="s">
        <v>754</v>
      </c>
      <c r="T2" s="80" t="s">
        <v>755</v>
      </c>
    </row>
    <row r="3" s="19" customFormat="1" ht="26.4" spans="1:20">
      <c r="A3" s="28"/>
      <c r="B3" s="29"/>
      <c r="C3" s="29"/>
      <c r="D3" s="30"/>
      <c r="E3" s="27" t="s">
        <v>40</v>
      </c>
      <c r="F3" s="27" t="s">
        <v>756</v>
      </c>
      <c r="G3" s="27" t="s">
        <v>757</v>
      </c>
      <c r="H3" s="27" t="s">
        <v>758</v>
      </c>
      <c r="I3" s="27" t="s">
        <v>759</v>
      </c>
      <c r="J3" s="70" t="s">
        <v>760</v>
      </c>
      <c r="K3" s="70" t="s">
        <v>761</v>
      </c>
      <c r="L3" s="70" t="s">
        <v>762</v>
      </c>
      <c r="N3" s="71" t="s">
        <v>763</v>
      </c>
      <c r="O3" s="71"/>
      <c r="P3" s="71"/>
      <c r="Q3" s="71"/>
      <c r="R3" s="71"/>
      <c r="S3" s="71"/>
      <c r="T3" s="81" t="s">
        <v>764</v>
      </c>
    </row>
    <row r="4" s="19" customFormat="1" ht="15" customHeight="1" spans="1:20">
      <c r="A4" s="31" t="s">
        <v>765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72"/>
      <c r="N4" s="73" t="s">
        <v>351</v>
      </c>
      <c r="O4" s="73" t="s">
        <v>352</v>
      </c>
      <c r="P4" s="73" t="s">
        <v>353</v>
      </c>
      <c r="Q4" s="73" t="s">
        <v>354</v>
      </c>
      <c r="R4" s="82" t="s">
        <v>355</v>
      </c>
      <c r="S4" s="73" t="s">
        <v>356</v>
      </c>
      <c r="T4" s="83" t="s">
        <v>766</v>
      </c>
    </row>
    <row r="5" s="19" customFormat="1" ht="15" customHeight="1" spans="1:20">
      <c r="A5" s="33" t="s">
        <v>767</v>
      </c>
      <c r="B5" s="34"/>
      <c r="C5" s="34"/>
      <c r="D5" s="35"/>
      <c r="E5" s="36"/>
      <c r="F5" s="36"/>
      <c r="G5" s="36"/>
      <c r="H5" s="37" t="s">
        <v>768</v>
      </c>
      <c r="I5" s="36"/>
      <c r="J5" s="74"/>
      <c r="K5" s="74"/>
      <c r="L5" s="74"/>
      <c r="N5" s="73" t="s">
        <v>357</v>
      </c>
      <c r="O5" s="73" t="s">
        <v>358</v>
      </c>
      <c r="P5" s="73" t="s">
        <v>359</v>
      </c>
      <c r="Q5" s="73" t="s">
        <v>360</v>
      </c>
      <c r="R5" s="82" t="s">
        <v>361</v>
      </c>
      <c r="S5" s="73" t="s">
        <v>356</v>
      </c>
      <c r="T5" s="83" t="s">
        <v>769</v>
      </c>
    </row>
    <row r="6" s="19" customFormat="1" ht="15" customHeight="1" spans="1:20">
      <c r="A6" s="33" t="s">
        <v>770</v>
      </c>
      <c r="B6" s="34"/>
      <c r="C6" s="34"/>
      <c r="D6" s="35"/>
      <c r="E6" s="37" t="s">
        <v>768</v>
      </c>
      <c r="F6" s="37" t="s">
        <v>768</v>
      </c>
      <c r="G6" s="37" t="s">
        <v>768</v>
      </c>
      <c r="H6" s="37" t="s">
        <v>768</v>
      </c>
      <c r="I6" s="37" t="s">
        <v>768</v>
      </c>
      <c r="J6" s="37" t="s">
        <v>768</v>
      </c>
      <c r="K6" s="37" t="s">
        <v>768</v>
      </c>
      <c r="L6" s="37" t="s">
        <v>768</v>
      </c>
      <c r="N6" s="73" t="s">
        <v>362</v>
      </c>
      <c r="O6" s="73" t="s">
        <v>363</v>
      </c>
      <c r="P6" s="73" t="s">
        <v>364</v>
      </c>
      <c r="Q6" s="73" t="s">
        <v>365</v>
      </c>
      <c r="R6" s="82" t="s">
        <v>366</v>
      </c>
      <c r="S6" s="73" t="s">
        <v>367</v>
      </c>
      <c r="T6" s="83" t="s">
        <v>771</v>
      </c>
    </row>
    <row r="7" s="19" customFormat="1" ht="15" customHeight="1" spans="1:20">
      <c r="A7" s="33" t="s">
        <v>772</v>
      </c>
      <c r="B7" s="34"/>
      <c r="C7" s="34"/>
      <c r="D7" s="35"/>
      <c r="E7" s="36"/>
      <c r="F7" s="36"/>
      <c r="G7" s="37" t="s">
        <v>768</v>
      </c>
      <c r="H7" s="37" t="s">
        <v>768</v>
      </c>
      <c r="I7" s="36"/>
      <c r="J7" s="37" t="s">
        <v>768</v>
      </c>
      <c r="K7" s="37" t="s">
        <v>768</v>
      </c>
      <c r="L7" s="37" t="s">
        <v>768</v>
      </c>
      <c r="N7" s="73" t="s">
        <v>368</v>
      </c>
      <c r="O7" s="73" t="s">
        <v>369</v>
      </c>
      <c r="P7" s="73" t="s">
        <v>773</v>
      </c>
      <c r="Q7" s="73" t="s">
        <v>371</v>
      </c>
      <c r="R7" s="82" t="s">
        <v>372</v>
      </c>
      <c r="S7" s="73" t="s">
        <v>373</v>
      </c>
      <c r="T7" s="83" t="s">
        <v>774</v>
      </c>
    </row>
    <row r="8" s="19" customFormat="1" ht="15" customHeight="1" spans="1:20">
      <c r="A8" s="33" t="s">
        <v>775</v>
      </c>
      <c r="B8" s="34"/>
      <c r="C8" s="34"/>
      <c r="D8" s="35"/>
      <c r="E8" s="36"/>
      <c r="F8" s="36"/>
      <c r="G8" s="36"/>
      <c r="H8" s="36"/>
      <c r="I8" s="36"/>
      <c r="J8" s="74"/>
      <c r="K8" s="37" t="s">
        <v>768</v>
      </c>
      <c r="L8" s="37" t="s">
        <v>768</v>
      </c>
      <c r="N8" s="73" t="s">
        <v>374</v>
      </c>
      <c r="O8" s="73" t="s">
        <v>375</v>
      </c>
      <c r="P8" s="73" t="s">
        <v>376</v>
      </c>
      <c r="Q8" s="73" t="s">
        <v>377</v>
      </c>
      <c r="R8" s="82" t="s">
        <v>378</v>
      </c>
      <c r="S8" s="73" t="s">
        <v>373</v>
      </c>
      <c r="T8" s="83" t="s">
        <v>776</v>
      </c>
    </row>
    <row r="9" s="19" customFormat="1" ht="15" customHeight="1" spans="1:20">
      <c r="A9" s="38" t="s">
        <v>777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N9" s="73" t="s">
        <v>379</v>
      </c>
      <c r="O9" s="73" t="s">
        <v>380</v>
      </c>
      <c r="P9" s="73" t="s">
        <v>381</v>
      </c>
      <c r="Q9" s="73" t="s">
        <v>382</v>
      </c>
      <c r="R9" s="82" t="s">
        <v>383</v>
      </c>
      <c r="S9" s="73" t="s">
        <v>367</v>
      </c>
      <c r="T9" s="83" t="s">
        <v>778</v>
      </c>
    </row>
    <row r="10" s="19" customFormat="1" ht="26.25" customHeight="1" spans="1:20">
      <c r="A10" s="39" t="s">
        <v>779</v>
      </c>
      <c r="B10" s="40"/>
      <c r="C10" s="40"/>
      <c r="D10" s="41"/>
      <c r="E10" s="42" t="s">
        <v>768</v>
      </c>
      <c r="F10" s="37" t="s">
        <v>768</v>
      </c>
      <c r="G10" s="37" t="s">
        <v>768</v>
      </c>
      <c r="H10" s="37" t="s">
        <v>768</v>
      </c>
      <c r="I10" s="37" t="s">
        <v>768</v>
      </c>
      <c r="J10" s="37" t="s">
        <v>768</v>
      </c>
      <c r="K10" s="37" t="s">
        <v>768</v>
      </c>
      <c r="L10" s="37" t="s">
        <v>768</v>
      </c>
      <c r="N10" s="73" t="s">
        <v>384</v>
      </c>
      <c r="O10" s="73" t="s">
        <v>385</v>
      </c>
      <c r="P10" s="73" t="s">
        <v>386</v>
      </c>
      <c r="Q10" s="73" t="s">
        <v>387</v>
      </c>
      <c r="R10" s="82" t="s">
        <v>388</v>
      </c>
      <c r="S10" s="73" t="s">
        <v>367</v>
      </c>
      <c r="T10" s="83" t="s">
        <v>780</v>
      </c>
    </row>
    <row r="11" s="19" customFormat="1" ht="26.25" customHeight="1" spans="1:20">
      <c r="A11" s="39" t="s">
        <v>781</v>
      </c>
      <c r="B11" s="40"/>
      <c r="C11" s="40"/>
      <c r="D11" s="41"/>
      <c r="E11" s="37" t="s">
        <v>768</v>
      </c>
      <c r="F11" s="37" t="s">
        <v>768</v>
      </c>
      <c r="G11" s="37" t="s">
        <v>768</v>
      </c>
      <c r="H11" s="37" t="s">
        <v>768</v>
      </c>
      <c r="I11" s="37" t="s">
        <v>768</v>
      </c>
      <c r="J11" s="37" t="s">
        <v>768</v>
      </c>
      <c r="K11" s="37" t="s">
        <v>768</v>
      </c>
      <c r="L11" s="37" t="s">
        <v>768</v>
      </c>
      <c r="N11" s="73" t="s">
        <v>389</v>
      </c>
      <c r="O11" s="73" t="s">
        <v>390</v>
      </c>
      <c r="P11" s="73" t="s">
        <v>391</v>
      </c>
      <c r="Q11" s="73" t="s">
        <v>392</v>
      </c>
      <c r="R11" s="82" t="s">
        <v>393</v>
      </c>
      <c r="S11" s="73" t="s">
        <v>394</v>
      </c>
      <c r="T11" s="83" t="s">
        <v>782</v>
      </c>
    </row>
    <row r="12" s="19" customFormat="1" spans="1:20">
      <c r="A12" s="39" t="s">
        <v>783</v>
      </c>
      <c r="B12" s="40"/>
      <c r="C12" s="40"/>
      <c r="D12" s="41"/>
      <c r="E12" s="37" t="s">
        <v>768</v>
      </c>
      <c r="F12" s="37" t="s">
        <v>768</v>
      </c>
      <c r="G12" s="37" t="s">
        <v>768</v>
      </c>
      <c r="H12" s="37" t="s">
        <v>768</v>
      </c>
      <c r="I12" s="37" t="s">
        <v>768</v>
      </c>
      <c r="J12" s="37" t="s">
        <v>768</v>
      </c>
      <c r="K12" s="37" t="s">
        <v>768</v>
      </c>
      <c r="L12" s="37" t="s">
        <v>768</v>
      </c>
      <c r="N12" s="73" t="s">
        <v>395</v>
      </c>
      <c r="O12" s="73" t="s">
        <v>396</v>
      </c>
      <c r="P12" s="73" t="s">
        <v>397</v>
      </c>
      <c r="Q12" s="73" t="s">
        <v>398</v>
      </c>
      <c r="R12" s="82" t="s">
        <v>399</v>
      </c>
      <c r="S12" s="73" t="s">
        <v>400</v>
      </c>
      <c r="T12" s="83" t="s">
        <v>784</v>
      </c>
    </row>
    <row r="13" s="19" customFormat="1" spans="1:20">
      <c r="A13" s="39" t="s">
        <v>785</v>
      </c>
      <c r="B13" s="40"/>
      <c r="C13" s="40"/>
      <c r="D13" s="41"/>
      <c r="E13" s="37" t="s">
        <v>768</v>
      </c>
      <c r="F13" s="37" t="s">
        <v>768</v>
      </c>
      <c r="G13" s="37" t="s">
        <v>768</v>
      </c>
      <c r="H13" s="37" t="s">
        <v>768</v>
      </c>
      <c r="I13" s="37" t="s">
        <v>768</v>
      </c>
      <c r="J13" s="37" t="s">
        <v>768</v>
      </c>
      <c r="K13" s="37" t="s">
        <v>768</v>
      </c>
      <c r="L13" s="37" t="s">
        <v>768</v>
      </c>
      <c r="N13" s="73" t="s">
        <v>401</v>
      </c>
      <c r="O13" s="73" t="s">
        <v>402</v>
      </c>
      <c r="P13" s="73" t="s">
        <v>403</v>
      </c>
      <c r="Q13" s="73" t="s">
        <v>404</v>
      </c>
      <c r="R13" s="82" t="s">
        <v>405</v>
      </c>
      <c r="S13" s="73" t="s">
        <v>394</v>
      </c>
      <c r="T13" s="83" t="s">
        <v>786</v>
      </c>
    </row>
    <row r="14" s="19" customFormat="1" spans="1:20">
      <c r="A14" s="39" t="s">
        <v>787</v>
      </c>
      <c r="B14" s="40"/>
      <c r="C14" s="40"/>
      <c r="D14" s="41"/>
      <c r="E14" s="37" t="s">
        <v>768</v>
      </c>
      <c r="F14" s="37" t="s">
        <v>768</v>
      </c>
      <c r="G14" s="37" t="s">
        <v>768</v>
      </c>
      <c r="H14" s="37" t="s">
        <v>768</v>
      </c>
      <c r="I14" s="37" t="s">
        <v>768</v>
      </c>
      <c r="J14" s="37" t="s">
        <v>768</v>
      </c>
      <c r="K14" s="37" t="s">
        <v>768</v>
      </c>
      <c r="L14" s="37" t="s">
        <v>768</v>
      </c>
      <c r="N14" s="73" t="s">
        <v>406</v>
      </c>
      <c r="O14" s="73" t="s">
        <v>407</v>
      </c>
      <c r="P14" s="73" t="s">
        <v>408</v>
      </c>
      <c r="Q14" s="73" t="s">
        <v>409</v>
      </c>
      <c r="R14" s="82" t="s">
        <v>410</v>
      </c>
      <c r="S14" s="73" t="s">
        <v>394</v>
      </c>
      <c r="T14" s="83" t="s">
        <v>788</v>
      </c>
    </row>
    <row r="15" s="19" customFormat="1" spans="1:20">
      <c r="A15" s="43" t="s">
        <v>789</v>
      </c>
      <c r="B15" s="43"/>
      <c r="C15" s="43"/>
      <c r="D15" s="43"/>
      <c r="E15" s="44"/>
      <c r="F15" s="37" t="s">
        <v>768</v>
      </c>
      <c r="G15" s="37" t="s">
        <v>768</v>
      </c>
      <c r="H15" s="37" t="s">
        <v>768</v>
      </c>
      <c r="I15" s="37" t="s">
        <v>768</v>
      </c>
      <c r="J15" s="37" t="s">
        <v>768</v>
      </c>
      <c r="K15" s="37" t="s">
        <v>768</v>
      </c>
      <c r="L15" s="37" t="s">
        <v>768</v>
      </c>
      <c r="N15" s="73" t="s">
        <v>411</v>
      </c>
      <c r="O15" s="73" t="s">
        <v>412</v>
      </c>
      <c r="P15" s="73" t="s">
        <v>413</v>
      </c>
      <c r="Q15" s="73" t="s">
        <v>414</v>
      </c>
      <c r="R15" s="82" t="s">
        <v>415</v>
      </c>
      <c r="S15" s="73" t="s">
        <v>394</v>
      </c>
      <c r="T15" s="83" t="s">
        <v>790</v>
      </c>
    </row>
    <row r="16" s="19" customFormat="1" spans="1:20">
      <c r="A16" s="39" t="s">
        <v>791</v>
      </c>
      <c r="B16" s="40"/>
      <c r="C16" s="40"/>
      <c r="D16" s="41"/>
      <c r="E16" s="45"/>
      <c r="F16" s="37" t="s">
        <v>768</v>
      </c>
      <c r="G16" s="37" t="s">
        <v>768</v>
      </c>
      <c r="H16" s="37" t="s">
        <v>768</v>
      </c>
      <c r="I16" s="37" t="s">
        <v>768</v>
      </c>
      <c r="J16" s="37" t="s">
        <v>768</v>
      </c>
      <c r="K16" s="37" t="s">
        <v>768</v>
      </c>
      <c r="L16" s="37" t="s">
        <v>768</v>
      </c>
      <c r="N16" s="73" t="s">
        <v>416</v>
      </c>
      <c r="O16" s="73" t="s">
        <v>417</v>
      </c>
      <c r="P16" s="73" t="s">
        <v>418</v>
      </c>
      <c r="Q16" s="73" t="s">
        <v>419</v>
      </c>
      <c r="R16" s="82" t="s">
        <v>420</v>
      </c>
      <c r="S16" s="73" t="s">
        <v>394</v>
      </c>
      <c r="T16" s="84"/>
    </row>
    <row r="17" s="19" customFormat="1" ht="27.75" customHeight="1" spans="1:20">
      <c r="A17" s="39" t="s">
        <v>792</v>
      </c>
      <c r="B17" s="40"/>
      <c r="C17" s="40"/>
      <c r="D17" s="41"/>
      <c r="E17" s="45"/>
      <c r="F17" s="45"/>
      <c r="G17" s="37" t="s">
        <v>768</v>
      </c>
      <c r="H17" s="37" t="s">
        <v>768</v>
      </c>
      <c r="I17" s="37" t="s">
        <v>768</v>
      </c>
      <c r="J17" s="37" t="s">
        <v>768</v>
      </c>
      <c r="K17" s="37" t="s">
        <v>768</v>
      </c>
      <c r="L17" s="37" t="s">
        <v>768</v>
      </c>
      <c r="N17" s="73" t="s">
        <v>421</v>
      </c>
      <c r="O17" s="73" t="s">
        <v>422</v>
      </c>
      <c r="P17" s="73" t="s">
        <v>793</v>
      </c>
      <c r="Q17" s="73" t="s">
        <v>424</v>
      </c>
      <c r="R17" s="82" t="s">
        <v>425</v>
      </c>
      <c r="S17" s="73" t="s">
        <v>426</v>
      </c>
      <c r="T17" s="85"/>
    </row>
    <row r="18" s="19" customFormat="1" spans="1:20">
      <c r="A18" s="39" t="s">
        <v>794</v>
      </c>
      <c r="B18" s="40"/>
      <c r="C18" s="40"/>
      <c r="D18" s="41"/>
      <c r="E18" s="45"/>
      <c r="F18" s="45"/>
      <c r="G18" s="45"/>
      <c r="H18" s="37" t="s">
        <v>768</v>
      </c>
      <c r="I18" s="37" t="s">
        <v>768</v>
      </c>
      <c r="J18" s="37" t="s">
        <v>768</v>
      </c>
      <c r="K18" s="37" t="s">
        <v>768</v>
      </c>
      <c r="L18" s="37" t="s">
        <v>768</v>
      </c>
      <c r="N18" s="73" t="s">
        <v>427</v>
      </c>
      <c r="O18" s="73" t="s">
        <v>428</v>
      </c>
      <c r="P18" s="73" t="s">
        <v>423</v>
      </c>
      <c r="Q18" s="73" t="s">
        <v>430</v>
      </c>
      <c r="R18" s="82" t="s">
        <v>431</v>
      </c>
      <c r="S18" s="73" t="s">
        <v>373</v>
      </c>
      <c r="T18" s="85"/>
    </row>
    <row r="19" s="19" customFormat="1" spans="1:20">
      <c r="A19" s="39" t="s">
        <v>795</v>
      </c>
      <c r="B19" s="40"/>
      <c r="C19" s="40"/>
      <c r="D19" s="41"/>
      <c r="E19" s="45"/>
      <c r="F19" s="45"/>
      <c r="G19" s="45"/>
      <c r="H19" s="37" t="s">
        <v>768</v>
      </c>
      <c r="I19" s="37" t="s">
        <v>768</v>
      </c>
      <c r="J19" s="37" t="s">
        <v>768</v>
      </c>
      <c r="K19" s="37" t="s">
        <v>768</v>
      </c>
      <c r="L19" s="37" t="s">
        <v>768</v>
      </c>
      <c r="N19" s="73" t="s">
        <v>432</v>
      </c>
      <c r="O19" s="73" t="s">
        <v>433</v>
      </c>
      <c r="P19" s="73" t="s">
        <v>429</v>
      </c>
      <c r="Q19" s="73" t="s">
        <v>435</v>
      </c>
      <c r="R19" s="82" t="s">
        <v>436</v>
      </c>
      <c r="S19" s="73" t="s">
        <v>394</v>
      </c>
      <c r="T19" s="85"/>
    </row>
    <row r="20" s="19" customFormat="1" spans="1:20">
      <c r="A20" s="39" t="s">
        <v>796</v>
      </c>
      <c r="B20" s="40"/>
      <c r="C20" s="40"/>
      <c r="D20" s="41"/>
      <c r="E20" s="45"/>
      <c r="F20" s="45"/>
      <c r="G20" s="45"/>
      <c r="H20" s="37" t="s">
        <v>768</v>
      </c>
      <c r="I20" s="37" t="s">
        <v>768</v>
      </c>
      <c r="J20" s="37" t="s">
        <v>768</v>
      </c>
      <c r="K20" s="37" t="s">
        <v>768</v>
      </c>
      <c r="L20" s="37" t="s">
        <v>768</v>
      </c>
      <c r="N20" s="73" t="s">
        <v>437</v>
      </c>
      <c r="O20" s="73" t="s">
        <v>438</v>
      </c>
      <c r="P20" s="73" t="s">
        <v>434</v>
      </c>
      <c r="Q20" s="73" t="s">
        <v>440</v>
      </c>
      <c r="R20" s="82" t="s">
        <v>441</v>
      </c>
      <c r="S20" s="73" t="s">
        <v>442</v>
      </c>
      <c r="T20" s="85"/>
    </row>
    <row r="21" s="19" customFormat="1" spans="1:20">
      <c r="A21" s="46" t="s">
        <v>797</v>
      </c>
      <c r="B21" s="40"/>
      <c r="C21" s="40"/>
      <c r="D21" s="41"/>
      <c r="E21" s="45"/>
      <c r="F21" s="45"/>
      <c r="G21" s="45"/>
      <c r="H21" s="45"/>
      <c r="I21" s="37" t="s">
        <v>768</v>
      </c>
      <c r="J21" s="66"/>
      <c r="K21" s="66"/>
      <c r="L21" s="66"/>
      <c r="N21" s="73" t="s">
        <v>443</v>
      </c>
      <c r="O21" s="73" t="s">
        <v>444</v>
      </c>
      <c r="P21" s="73" t="s">
        <v>439</v>
      </c>
      <c r="Q21" s="73" t="s">
        <v>446</v>
      </c>
      <c r="R21" s="82" t="s">
        <v>447</v>
      </c>
      <c r="S21" s="73" t="s">
        <v>442</v>
      </c>
      <c r="T21" s="85"/>
    </row>
    <row r="22" s="19" customFormat="1" spans="1:20">
      <c r="A22" s="47" t="s">
        <v>798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75"/>
      <c r="N22" s="73" t="s">
        <v>448</v>
      </c>
      <c r="O22" s="73" t="s">
        <v>449</v>
      </c>
      <c r="P22" s="73" t="s">
        <v>445</v>
      </c>
      <c r="Q22" s="73" t="s">
        <v>451</v>
      </c>
      <c r="R22" s="82" t="s">
        <v>452</v>
      </c>
      <c r="S22" s="73" t="s">
        <v>442</v>
      </c>
      <c r="T22" s="85"/>
    </row>
    <row r="23" s="19" customFormat="1" spans="1:20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76"/>
      <c r="N23" s="73" t="s">
        <v>453</v>
      </c>
      <c r="O23" s="73" t="s">
        <v>454</v>
      </c>
      <c r="P23" s="73" t="s">
        <v>799</v>
      </c>
      <c r="Q23" s="73" t="s">
        <v>456</v>
      </c>
      <c r="R23" s="82" t="s">
        <v>457</v>
      </c>
      <c r="S23" s="73" t="s">
        <v>442</v>
      </c>
      <c r="T23" s="85"/>
    </row>
    <row r="24" s="19" customFormat="1" spans="1:20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77"/>
      <c r="N24" s="73" t="s">
        <v>458</v>
      </c>
      <c r="O24" s="73" t="s">
        <v>459</v>
      </c>
      <c r="P24" s="73" t="s">
        <v>455</v>
      </c>
      <c r="Q24" s="73" t="s">
        <v>461</v>
      </c>
      <c r="R24" s="82" t="s">
        <v>462</v>
      </c>
      <c r="S24" s="73" t="s">
        <v>442</v>
      </c>
      <c r="T24" s="85"/>
    </row>
    <row r="25" spans="14:20">
      <c r="N25" s="73" t="s">
        <v>463</v>
      </c>
      <c r="O25" s="73" t="s">
        <v>464</v>
      </c>
      <c r="P25" s="73" t="s">
        <v>460</v>
      </c>
      <c r="Q25" s="73" t="s">
        <v>466</v>
      </c>
      <c r="R25" s="82" t="s">
        <v>467</v>
      </c>
      <c r="S25" s="73" t="s">
        <v>442</v>
      </c>
      <c r="T25" s="86"/>
    </row>
    <row r="26" s="1" customFormat="1" ht="20.1" customHeight="1" spans="1:20">
      <c r="A26" s="53" t="s">
        <v>800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78"/>
      <c r="N26" s="73" t="s">
        <v>468</v>
      </c>
      <c r="O26" s="73" t="s">
        <v>469</v>
      </c>
      <c r="P26" s="73" t="s">
        <v>465</v>
      </c>
      <c r="Q26" s="73" t="s">
        <v>471</v>
      </c>
      <c r="R26" s="82" t="s">
        <v>472</v>
      </c>
      <c r="S26" s="73" t="s">
        <v>442</v>
      </c>
      <c r="T26" s="87"/>
    </row>
    <row r="27" ht="21" customHeight="1" spans="1:20">
      <c r="A27" s="55" t="s">
        <v>801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79"/>
      <c r="N27" s="73" t="s">
        <v>473</v>
      </c>
      <c r="O27" s="73" t="s">
        <v>474</v>
      </c>
      <c r="P27" s="73" t="s">
        <v>470</v>
      </c>
      <c r="Q27" s="73" t="s">
        <v>476</v>
      </c>
      <c r="R27" s="82" t="s">
        <v>477</v>
      </c>
      <c r="S27" s="73" t="s">
        <v>442</v>
      </c>
      <c r="T27" s="86"/>
    </row>
    <row r="28" ht="12.75" customHeight="1" spans="1:20">
      <c r="A28" s="57" t="s">
        <v>802</v>
      </c>
      <c r="B28" s="58"/>
      <c r="C28" s="58"/>
      <c r="D28" s="59"/>
      <c r="E28" s="60" t="s">
        <v>803</v>
      </c>
      <c r="F28" s="60"/>
      <c r="G28" s="61" t="s">
        <v>804</v>
      </c>
      <c r="H28" s="61" t="s">
        <v>805</v>
      </c>
      <c r="I28" s="61"/>
      <c r="J28" s="61"/>
      <c r="K28" s="61" t="s">
        <v>806</v>
      </c>
      <c r="L28" s="61"/>
      <c r="N28" s="73" t="s">
        <v>478</v>
      </c>
      <c r="O28" s="73" t="s">
        <v>479</v>
      </c>
      <c r="P28" s="73" t="s">
        <v>475</v>
      </c>
      <c r="Q28" s="73" t="s">
        <v>481</v>
      </c>
      <c r="R28" s="82" t="s">
        <v>482</v>
      </c>
      <c r="S28" s="73" t="s">
        <v>442</v>
      </c>
      <c r="T28" s="86"/>
    </row>
    <row r="29" spans="1:20">
      <c r="A29" s="62" t="s">
        <v>807</v>
      </c>
      <c r="B29" s="63"/>
      <c r="C29" s="63"/>
      <c r="D29" s="64"/>
      <c r="E29" s="65" t="s">
        <v>758</v>
      </c>
      <c r="F29" s="65"/>
      <c r="G29" s="66" t="s">
        <v>808</v>
      </c>
      <c r="H29" s="66" t="s">
        <v>809</v>
      </c>
      <c r="I29" s="66"/>
      <c r="J29" s="66"/>
      <c r="K29" s="66" t="s">
        <v>810</v>
      </c>
      <c r="L29" s="66"/>
      <c r="N29" s="73" t="s">
        <v>483</v>
      </c>
      <c r="O29" s="73" t="s">
        <v>484</v>
      </c>
      <c r="P29" s="73" t="s">
        <v>480</v>
      </c>
      <c r="Q29" s="73" t="s">
        <v>486</v>
      </c>
      <c r="R29" s="82" t="s">
        <v>487</v>
      </c>
      <c r="S29" s="73" t="s">
        <v>442</v>
      </c>
      <c r="T29" s="86"/>
    </row>
    <row r="30" ht="25.5" customHeight="1" spans="1:20">
      <c r="A30" s="62" t="s">
        <v>811</v>
      </c>
      <c r="B30" s="63"/>
      <c r="C30" s="63"/>
      <c r="D30" s="64"/>
      <c r="E30" s="65" t="s">
        <v>812</v>
      </c>
      <c r="F30" s="65"/>
      <c r="G30" s="66" t="s">
        <v>808</v>
      </c>
      <c r="H30" s="66"/>
      <c r="I30" s="66"/>
      <c r="J30" s="66"/>
      <c r="K30" s="66"/>
      <c r="L30" s="66"/>
      <c r="N30" s="73" t="s">
        <v>488</v>
      </c>
      <c r="O30" s="73" t="s">
        <v>489</v>
      </c>
      <c r="P30" s="73" t="s">
        <v>485</v>
      </c>
      <c r="Q30" s="73" t="s">
        <v>491</v>
      </c>
      <c r="R30" s="82" t="s">
        <v>492</v>
      </c>
      <c r="S30" s="73" t="s">
        <v>442</v>
      </c>
      <c r="T30" s="86"/>
    </row>
    <row r="31" ht="30" customHeight="1" spans="1:20">
      <c r="A31" s="62" t="s">
        <v>813</v>
      </c>
      <c r="B31" s="63"/>
      <c r="C31" s="63"/>
      <c r="D31" s="64"/>
      <c r="E31" s="65" t="s">
        <v>756</v>
      </c>
      <c r="F31" s="65"/>
      <c r="G31" s="66" t="s">
        <v>808</v>
      </c>
      <c r="H31" s="66"/>
      <c r="I31" s="66"/>
      <c r="J31" s="66"/>
      <c r="K31" s="66"/>
      <c r="L31" s="66"/>
      <c r="N31" s="73" t="s">
        <v>493</v>
      </c>
      <c r="O31" s="73" t="s">
        <v>494</v>
      </c>
      <c r="P31" s="73" t="s">
        <v>490</v>
      </c>
      <c r="Q31" s="73" t="s">
        <v>496</v>
      </c>
      <c r="R31" s="82" t="s">
        <v>497</v>
      </c>
      <c r="S31" s="73" t="s">
        <v>442</v>
      </c>
      <c r="T31" s="86"/>
    </row>
    <row r="32" ht="39.95" customHeight="1" spans="1:20">
      <c r="A32" s="62" t="s">
        <v>814</v>
      </c>
      <c r="B32" s="63"/>
      <c r="C32" s="63"/>
      <c r="D32" s="64"/>
      <c r="E32" s="65" t="s">
        <v>815</v>
      </c>
      <c r="F32" s="65"/>
      <c r="G32" s="66" t="s">
        <v>816</v>
      </c>
      <c r="H32" s="66" t="s">
        <v>817</v>
      </c>
      <c r="I32" s="66"/>
      <c r="J32" s="66"/>
      <c r="K32" s="66" t="s">
        <v>818</v>
      </c>
      <c r="L32" s="66"/>
      <c r="N32" s="73" t="s">
        <v>498</v>
      </c>
      <c r="O32" s="73" t="s">
        <v>499</v>
      </c>
      <c r="P32" s="73" t="s">
        <v>495</v>
      </c>
      <c r="Q32" s="73" t="s">
        <v>501</v>
      </c>
      <c r="R32" s="82" t="s">
        <v>502</v>
      </c>
      <c r="S32" s="73" t="s">
        <v>442</v>
      </c>
      <c r="T32" s="86"/>
    </row>
    <row r="33" ht="25.5" customHeight="1" spans="1:20">
      <c r="A33" s="62" t="s">
        <v>819</v>
      </c>
      <c r="B33" s="63"/>
      <c r="C33" s="63"/>
      <c r="D33" s="64"/>
      <c r="E33" s="65" t="s">
        <v>820</v>
      </c>
      <c r="F33" s="65"/>
      <c r="G33" s="66" t="s">
        <v>821</v>
      </c>
      <c r="H33" s="66" t="s">
        <v>822</v>
      </c>
      <c r="I33" s="66"/>
      <c r="J33" s="66"/>
      <c r="K33" s="66" t="s">
        <v>823</v>
      </c>
      <c r="L33" s="66"/>
      <c r="N33" s="73" t="s">
        <v>503</v>
      </c>
      <c r="O33" s="73" t="s">
        <v>504</v>
      </c>
      <c r="P33" s="73" t="s">
        <v>500</v>
      </c>
      <c r="Q33" s="73" t="s">
        <v>506</v>
      </c>
      <c r="R33" s="82" t="s">
        <v>507</v>
      </c>
      <c r="S33" s="73" t="s">
        <v>442</v>
      </c>
      <c r="T33" s="86"/>
    </row>
    <row r="34" ht="39.95" customHeight="1" spans="1:20">
      <c r="A34" s="62" t="s">
        <v>824</v>
      </c>
      <c r="B34" s="63"/>
      <c r="C34" s="63"/>
      <c r="D34" s="64"/>
      <c r="E34" s="65" t="s">
        <v>825</v>
      </c>
      <c r="F34" s="65"/>
      <c r="G34" s="66" t="s">
        <v>821</v>
      </c>
      <c r="H34" s="66" t="s">
        <v>826</v>
      </c>
      <c r="I34" s="66"/>
      <c r="J34" s="66"/>
      <c r="K34" s="66"/>
      <c r="L34" s="66"/>
      <c r="N34" s="73" t="s">
        <v>508</v>
      </c>
      <c r="O34" s="73" t="s">
        <v>509</v>
      </c>
      <c r="P34" s="73" t="s">
        <v>505</v>
      </c>
      <c r="Q34" s="73" t="s">
        <v>511</v>
      </c>
      <c r="R34" s="82" t="s">
        <v>512</v>
      </c>
      <c r="S34" s="73" t="s">
        <v>442</v>
      </c>
      <c r="T34" s="86"/>
    </row>
    <row r="35" ht="25.5" customHeight="1" spans="1:20">
      <c r="A35" s="62" t="s">
        <v>827</v>
      </c>
      <c r="B35" s="63"/>
      <c r="C35" s="63"/>
      <c r="D35" s="64"/>
      <c r="E35" s="65" t="s">
        <v>828</v>
      </c>
      <c r="F35" s="65"/>
      <c r="G35" s="66" t="s">
        <v>821</v>
      </c>
      <c r="H35" s="66" t="s">
        <v>829</v>
      </c>
      <c r="I35" s="66"/>
      <c r="J35" s="66"/>
      <c r="K35" s="66"/>
      <c r="L35" s="66"/>
      <c r="N35" s="73" t="s">
        <v>513</v>
      </c>
      <c r="O35" s="73" t="s">
        <v>514</v>
      </c>
      <c r="P35" s="73" t="s">
        <v>830</v>
      </c>
      <c r="Q35" s="73" t="s">
        <v>516</v>
      </c>
      <c r="R35" s="82" t="s">
        <v>517</v>
      </c>
      <c r="S35" s="73" t="s">
        <v>442</v>
      </c>
      <c r="T35" s="86"/>
    </row>
    <row r="36" ht="31.5" customHeight="1" spans="1:20">
      <c r="A36" s="62" t="s">
        <v>831</v>
      </c>
      <c r="B36" s="63"/>
      <c r="C36" s="63"/>
      <c r="D36" s="64"/>
      <c r="E36" s="65" t="s">
        <v>832</v>
      </c>
      <c r="F36" s="65"/>
      <c r="G36" s="66" t="s">
        <v>808</v>
      </c>
      <c r="H36" s="66" t="s">
        <v>833</v>
      </c>
      <c r="I36" s="66"/>
      <c r="J36" s="66"/>
      <c r="K36" s="66" t="s">
        <v>834</v>
      </c>
      <c r="L36" s="66"/>
      <c r="N36" s="73" t="s">
        <v>518</v>
      </c>
      <c r="O36" s="73" t="s">
        <v>519</v>
      </c>
      <c r="P36" s="73" t="s">
        <v>510</v>
      </c>
      <c r="Q36" s="73" t="s">
        <v>521</v>
      </c>
      <c r="R36" s="82" t="s">
        <v>522</v>
      </c>
      <c r="S36" s="73" t="s">
        <v>442</v>
      </c>
      <c r="T36" s="86"/>
    </row>
    <row r="37" ht="21" customHeight="1" spans="1:20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N37" s="73" t="s">
        <v>523</v>
      </c>
      <c r="O37" s="73" t="s">
        <v>524</v>
      </c>
      <c r="P37" s="73" t="s">
        <v>515</v>
      </c>
      <c r="Q37" s="73" t="s">
        <v>526</v>
      </c>
      <c r="R37" s="82" t="s">
        <v>527</v>
      </c>
      <c r="S37" s="73" t="s">
        <v>442</v>
      </c>
      <c r="T37" s="86"/>
    </row>
    <row r="38" ht="22.5" customHeight="1" spans="14:20">
      <c r="N38" s="73" t="s">
        <v>528</v>
      </c>
      <c r="O38" s="73" t="s">
        <v>529</v>
      </c>
      <c r="P38" s="73" t="s">
        <v>520</v>
      </c>
      <c r="Q38" s="73" t="s">
        <v>531</v>
      </c>
      <c r="R38" s="82" t="s">
        <v>532</v>
      </c>
      <c r="S38" s="73" t="s">
        <v>442</v>
      </c>
      <c r="T38" s="86"/>
    </row>
    <row r="39" spans="1:20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N39" s="73" t="s">
        <v>533</v>
      </c>
      <c r="O39" s="73" t="s">
        <v>534</v>
      </c>
      <c r="P39" s="73" t="s">
        <v>525</v>
      </c>
      <c r="Q39" s="73" t="s">
        <v>536</v>
      </c>
      <c r="R39" s="82" t="s">
        <v>537</v>
      </c>
      <c r="S39" s="73" t="s">
        <v>442</v>
      </c>
      <c r="T39" s="86"/>
    </row>
    <row r="40" spans="14:20">
      <c r="N40" s="73" t="s">
        <v>538</v>
      </c>
      <c r="O40" s="73" t="s">
        <v>539</v>
      </c>
      <c r="P40" s="73" t="s">
        <v>530</v>
      </c>
      <c r="Q40" s="73" t="s">
        <v>541</v>
      </c>
      <c r="R40" s="82" t="s">
        <v>542</v>
      </c>
      <c r="S40" s="73" t="s">
        <v>394</v>
      </c>
      <c r="T40" s="86"/>
    </row>
    <row r="41" spans="14:20">
      <c r="N41" s="73" t="s">
        <v>543</v>
      </c>
      <c r="O41" s="73" t="s">
        <v>544</v>
      </c>
      <c r="P41" s="73" t="s">
        <v>535</v>
      </c>
      <c r="Q41" s="73" t="s">
        <v>546</v>
      </c>
      <c r="R41" s="82" t="s">
        <v>547</v>
      </c>
      <c r="S41" s="73" t="s">
        <v>442</v>
      </c>
      <c r="T41" s="86"/>
    </row>
    <row r="42" spans="14:20">
      <c r="N42" s="73" t="s">
        <v>548</v>
      </c>
      <c r="O42" s="73" t="s">
        <v>549</v>
      </c>
      <c r="P42" s="73" t="s">
        <v>540</v>
      </c>
      <c r="Q42" s="73" t="s">
        <v>551</v>
      </c>
      <c r="R42" s="82" t="s">
        <v>552</v>
      </c>
      <c r="S42" s="73"/>
      <c r="T42" s="86"/>
    </row>
    <row r="43" spans="14:20">
      <c r="N43" s="73" t="s">
        <v>553</v>
      </c>
      <c r="O43" s="73" t="s">
        <v>554</v>
      </c>
      <c r="P43" s="73" t="s">
        <v>545</v>
      </c>
      <c r="Q43" s="73" t="s">
        <v>556</v>
      </c>
      <c r="R43" s="82" t="s">
        <v>557</v>
      </c>
      <c r="S43" s="73" t="s">
        <v>442</v>
      </c>
      <c r="T43" s="86"/>
    </row>
    <row r="44" spans="14:20">
      <c r="N44" s="73" t="s">
        <v>558</v>
      </c>
      <c r="O44" s="73" t="s">
        <v>559</v>
      </c>
      <c r="P44" s="73" t="s">
        <v>550</v>
      </c>
      <c r="Q44" s="73" t="s">
        <v>561</v>
      </c>
      <c r="R44" s="82" t="s">
        <v>562</v>
      </c>
      <c r="S44" s="73" t="s">
        <v>442</v>
      </c>
      <c r="T44" s="86"/>
    </row>
    <row r="45" spans="14:20">
      <c r="N45" s="73" t="s">
        <v>563</v>
      </c>
      <c r="O45" s="73" t="s">
        <v>564</v>
      </c>
      <c r="P45" s="73" t="s">
        <v>555</v>
      </c>
      <c r="Q45" s="73" t="s">
        <v>566</v>
      </c>
      <c r="R45" s="82" t="s">
        <v>567</v>
      </c>
      <c r="S45" s="73" t="s">
        <v>442</v>
      </c>
      <c r="T45" s="86"/>
    </row>
    <row r="46" spans="14:20">
      <c r="N46" s="73" t="s">
        <v>568</v>
      </c>
      <c r="O46" s="73" t="s">
        <v>569</v>
      </c>
      <c r="P46" s="73" t="s">
        <v>560</v>
      </c>
      <c r="Q46" s="73" t="s">
        <v>571</v>
      </c>
      <c r="R46" s="82" t="s">
        <v>572</v>
      </c>
      <c r="S46" s="73" t="s">
        <v>442</v>
      </c>
      <c r="T46" s="86"/>
    </row>
    <row r="47" spans="14:20">
      <c r="N47" s="73" t="s">
        <v>573</v>
      </c>
      <c r="O47" s="73" t="s">
        <v>574</v>
      </c>
      <c r="P47" s="73" t="s">
        <v>565</v>
      </c>
      <c r="Q47" s="73" t="s">
        <v>576</v>
      </c>
      <c r="R47" s="82" t="s">
        <v>577</v>
      </c>
      <c r="S47" s="73" t="s">
        <v>442</v>
      </c>
      <c r="T47" s="86"/>
    </row>
    <row r="48" spans="14:20">
      <c r="N48" s="73" t="s">
        <v>578</v>
      </c>
      <c r="O48" s="73" t="s">
        <v>579</v>
      </c>
      <c r="P48" s="73" t="s">
        <v>570</v>
      </c>
      <c r="Q48" s="73" t="s">
        <v>581</v>
      </c>
      <c r="R48" s="82" t="s">
        <v>582</v>
      </c>
      <c r="S48" s="73" t="s">
        <v>442</v>
      </c>
      <c r="T48" s="86"/>
    </row>
    <row r="49" spans="14:20">
      <c r="N49" s="73" t="s">
        <v>583</v>
      </c>
      <c r="O49" s="73" t="s">
        <v>584</v>
      </c>
      <c r="P49" s="73" t="s">
        <v>835</v>
      </c>
      <c r="Q49" s="73" t="s">
        <v>586</v>
      </c>
      <c r="R49" s="82" t="s">
        <v>587</v>
      </c>
      <c r="S49" s="73" t="s">
        <v>442</v>
      </c>
      <c r="T49" s="86"/>
    </row>
    <row r="50" spans="14:20">
      <c r="N50" s="73" t="s">
        <v>588</v>
      </c>
      <c r="O50" s="73" t="s">
        <v>589</v>
      </c>
      <c r="P50" s="73" t="s">
        <v>575</v>
      </c>
      <c r="Q50" s="73" t="s">
        <v>591</v>
      </c>
      <c r="R50" s="82" t="s">
        <v>592</v>
      </c>
      <c r="S50" s="73" t="s">
        <v>442</v>
      </c>
      <c r="T50" s="86"/>
    </row>
    <row r="51" spans="14:20">
      <c r="N51" s="73" t="s">
        <v>593</v>
      </c>
      <c r="O51" s="73" t="s">
        <v>594</v>
      </c>
      <c r="P51" s="73" t="s">
        <v>580</v>
      </c>
      <c r="Q51" s="73" t="s">
        <v>596</v>
      </c>
      <c r="R51" s="82" t="s">
        <v>597</v>
      </c>
      <c r="S51" s="73" t="s">
        <v>394</v>
      </c>
      <c r="T51" s="86"/>
    </row>
    <row r="52" spans="14:20">
      <c r="N52" s="73" t="s">
        <v>598</v>
      </c>
      <c r="O52" s="73" t="s">
        <v>599</v>
      </c>
      <c r="P52" s="73" t="s">
        <v>585</v>
      </c>
      <c r="Q52" s="73" t="s">
        <v>600</v>
      </c>
      <c r="R52" s="82" t="s">
        <v>601</v>
      </c>
      <c r="S52" s="73" t="s">
        <v>442</v>
      </c>
      <c r="T52" s="86"/>
    </row>
    <row r="53" spans="14:20">
      <c r="N53" s="73" t="s">
        <v>602</v>
      </c>
      <c r="O53" s="73" t="s">
        <v>603</v>
      </c>
      <c r="P53" s="73" t="s">
        <v>836</v>
      </c>
      <c r="Q53" s="73" t="s">
        <v>604</v>
      </c>
      <c r="R53" s="82" t="s">
        <v>605</v>
      </c>
      <c r="S53" s="73"/>
      <c r="T53" s="86"/>
    </row>
    <row r="54" spans="14:20">
      <c r="N54" s="73" t="s">
        <v>606</v>
      </c>
      <c r="O54" s="73" t="s">
        <v>607</v>
      </c>
      <c r="P54" s="73" t="s">
        <v>595</v>
      </c>
      <c r="Q54" s="73" t="s">
        <v>608</v>
      </c>
      <c r="R54" s="82" t="s">
        <v>609</v>
      </c>
      <c r="S54" s="73" t="s">
        <v>442</v>
      </c>
      <c r="T54" s="86"/>
    </row>
    <row r="55" spans="14:20">
      <c r="N55" s="73" t="s">
        <v>610</v>
      </c>
      <c r="O55" s="73" t="s">
        <v>611</v>
      </c>
      <c r="P55" s="73"/>
      <c r="Q55" s="73" t="s">
        <v>612</v>
      </c>
      <c r="R55" s="82" t="s">
        <v>613</v>
      </c>
      <c r="S55" s="73" t="s">
        <v>442</v>
      </c>
      <c r="T55" s="86"/>
    </row>
    <row r="56" spans="14:20">
      <c r="N56" s="73" t="s">
        <v>614</v>
      </c>
      <c r="O56" s="73" t="s">
        <v>615</v>
      </c>
      <c r="P56" s="73"/>
      <c r="Q56" s="73" t="s">
        <v>616</v>
      </c>
      <c r="R56" s="82" t="s">
        <v>617</v>
      </c>
      <c r="S56" s="73" t="s">
        <v>394</v>
      </c>
      <c r="T56" s="86"/>
    </row>
    <row r="57" spans="14:20">
      <c r="N57" s="73" t="s">
        <v>618</v>
      </c>
      <c r="O57" s="73" t="s">
        <v>619</v>
      </c>
      <c r="P57" s="73"/>
      <c r="Q57" s="73" t="s">
        <v>620</v>
      </c>
      <c r="R57" s="82" t="s">
        <v>621</v>
      </c>
      <c r="S57" s="73" t="s">
        <v>442</v>
      </c>
      <c r="T57" s="86"/>
    </row>
    <row r="58" spans="14:20">
      <c r="N58" s="73" t="s">
        <v>622</v>
      </c>
      <c r="O58" s="73" t="s">
        <v>623</v>
      </c>
      <c r="P58" s="73"/>
      <c r="Q58" s="73" t="s">
        <v>624</v>
      </c>
      <c r="R58" s="82" t="s">
        <v>625</v>
      </c>
      <c r="S58" s="73" t="s">
        <v>442</v>
      </c>
      <c r="T58" s="86"/>
    </row>
    <row r="59" spans="14:20">
      <c r="N59" s="73" t="s">
        <v>626</v>
      </c>
      <c r="O59" s="73" t="s">
        <v>627</v>
      </c>
      <c r="P59" s="73"/>
      <c r="Q59" s="73" t="s">
        <v>628</v>
      </c>
      <c r="R59" s="82" t="s">
        <v>629</v>
      </c>
      <c r="S59" s="73" t="s">
        <v>442</v>
      </c>
      <c r="T59" s="86"/>
    </row>
    <row r="60" spans="14:20">
      <c r="N60" s="73" t="s">
        <v>630</v>
      </c>
      <c r="O60" s="73" t="s">
        <v>631</v>
      </c>
      <c r="P60" s="73"/>
      <c r="Q60" s="73" t="s">
        <v>632</v>
      </c>
      <c r="R60" s="82" t="s">
        <v>633</v>
      </c>
      <c r="S60" s="73" t="s">
        <v>442</v>
      </c>
      <c r="T60" s="86"/>
    </row>
    <row r="61" spans="14:20">
      <c r="N61" s="73" t="s">
        <v>634</v>
      </c>
      <c r="O61" s="73" t="s">
        <v>635</v>
      </c>
      <c r="P61" s="73"/>
      <c r="Q61" s="73" t="s">
        <v>636</v>
      </c>
      <c r="R61" s="82" t="s">
        <v>637</v>
      </c>
      <c r="S61" s="73" t="s">
        <v>442</v>
      </c>
      <c r="T61" s="86"/>
    </row>
    <row r="62" spans="14:20">
      <c r="N62" s="73" t="s">
        <v>638</v>
      </c>
      <c r="O62" s="73" t="s">
        <v>639</v>
      </c>
      <c r="P62" s="73"/>
      <c r="Q62" s="73" t="s">
        <v>640</v>
      </c>
      <c r="R62" s="82" t="s">
        <v>641</v>
      </c>
      <c r="S62" s="73" t="s">
        <v>442</v>
      </c>
      <c r="T62" s="86"/>
    </row>
    <row r="63" spans="14:20">
      <c r="N63" s="73" t="s">
        <v>642</v>
      </c>
      <c r="O63" s="73" t="s">
        <v>643</v>
      </c>
      <c r="P63" s="73"/>
      <c r="Q63" s="73" t="s">
        <v>644</v>
      </c>
      <c r="R63" s="82" t="s">
        <v>645</v>
      </c>
      <c r="S63" s="73" t="s">
        <v>442</v>
      </c>
      <c r="T63" s="86"/>
    </row>
    <row r="64" spans="14:20">
      <c r="N64" s="73" t="s">
        <v>646</v>
      </c>
      <c r="O64" s="73" t="s">
        <v>647</v>
      </c>
      <c r="P64" s="73"/>
      <c r="Q64" s="73" t="s">
        <v>648</v>
      </c>
      <c r="R64" s="82" t="s">
        <v>649</v>
      </c>
      <c r="S64" s="73" t="s">
        <v>442</v>
      </c>
      <c r="T64" s="86"/>
    </row>
    <row r="65" spans="14:20">
      <c r="N65" s="73" t="s">
        <v>650</v>
      </c>
      <c r="O65" s="73" t="s">
        <v>651</v>
      </c>
      <c r="P65" s="73"/>
      <c r="Q65" s="73" t="s">
        <v>652</v>
      </c>
      <c r="R65" s="82" t="s">
        <v>653</v>
      </c>
      <c r="S65" s="73" t="s">
        <v>442</v>
      </c>
      <c r="T65" s="86"/>
    </row>
    <row r="66" spans="14:20">
      <c r="N66" s="73" t="s">
        <v>654</v>
      </c>
      <c r="O66" s="73" t="s">
        <v>655</v>
      </c>
      <c r="P66" s="73"/>
      <c r="Q66" s="73" t="s">
        <v>656</v>
      </c>
      <c r="R66" s="82" t="s">
        <v>657</v>
      </c>
      <c r="S66" s="73" t="s">
        <v>442</v>
      </c>
      <c r="T66" s="86"/>
    </row>
    <row r="67" spans="14:20">
      <c r="N67" s="73" t="s">
        <v>658</v>
      </c>
      <c r="O67" s="73" t="s">
        <v>659</v>
      </c>
      <c r="P67" s="73"/>
      <c r="Q67" s="73" t="s">
        <v>660</v>
      </c>
      <c r="R67" s="82" t="s">
        <v>661</v>
      </c>
      <c r="S67" s="73" t="s">
        <v>442</v>
      </c>
      <c r="T67" s="86"/>
    </row>
    <row r="68" spans="14:20">
      <c r="N68" s="73" t="s">
        <v>662</v>
      </c>
      <c r="O68" s="73" t="s">
        <v>663</v>
      </c>
      <c r="P68" s="73"/>
      <c r="Q68" s="73" t="s">
        <v>664</v>
      </c>
      <c r="R68" s="82" t="s">
        <v>665</v>
      </c>
      <c r="S68" s="73" t="s">
        <v>394</v>
      </c>
      <c r="T68" s="86"/>
    </row>
    <row r="69" spans="14:20">
      <c r="N69" s="73" t="s">
        <v>666</v>
      </c>
      <c r="O69" s="73" t="s">
        <v>667</v>
      </c>
      <c r="P69" s="73"/>
      <c r="Q69" s="73" t="s">
        <v>668</v>
      </c>
      <c r="R69" s="82" t="s">
        <v>669</v>
      </c>
      <c r="S69" s="73" t="s">
        <v>442</v>
      </c>
      <c r="T69" s="86"/>
    </row>
    <row r="70" spans="14:20">
      <c r="N70" s="73" t="s">
        <v>670</v>
      </c>
      <c r="O70" s="73" t="s">
        <v>671</v>
      </c>
      <c r="P70" s="73"/>
      <c r="Q70" s="73" t="s">
        <v>672</v>
      </c>
      <c r="R70" s="82" t="s">
        <v>673</v>
      </c>
      <c r="S70" s="73" t="s">
        <v>442</v>
      </c>
      <c r="T70" s="86"/>
    </row>
    <row r="71" spans="14:20">
      <c r="N71" s="73" t="s">
        <v>674</v>
      </c>
      <c r="O71" s="73" t="s">
        <v>675</v>
      </c>
      <c r="P71" s="73"/>
      <c r="Q71" s="73" t="s">
        <v>676</v>
      </c>
      <c r="R71" s="82" t="s">
        <v>677</v>
      </c>
      <c r="S71" s="73" t="s">
        <v>442</v>
      </c>
      <c r="T71" s="86"/>
    </row>
    <row r="72" spans="14:20">
      <c r="N72" s="73" t="s">
        <v>678</v>
      </c>
      <c r="O72" s="73" t="s">
        <v>679</v>
      </c>
      <c r="P72" s="73"/>
      <c r="Q72" s="73" t="s">
        <v>680</v>
      </c>
      <c r="R72" s="82" t="s">
        <v>681</v>
      </c>
      <c r="S72" s="73" t="s">
        <v>394</v>
      </c>
      <c r="T72" s="86"/>
    </row>
    <row r="73" spans="14:20">
      <c r="N73" s="73" t="s">
        <v>682</v>
      </c>
      <c r="O73" s="73" t="s">
        <v>683</v>
      </c>
      <c r="P73" s="73"/>
      <c r="Q73" s="73" t="s">
        <v>684</v>
      </c>
      <c r="R73" s="82" t="s">
        <v>685</v>
      </c>
      <c r="S73" s="73" t="s">
        <v>356</v>
      </c>
      <c r="T73" s="86"/>
    </row>
    <row r="74" spans="14:20">
      <c r="N74" s="73" t="s">
        <v>686</v>
      </c>
      <c r="O74" s="73" t="s">
        <v>687</v>
      </c>
      <c r="P74" s="73"/>
      <c r="Q74" s="73" t="s">
        <v>688</v>
      </c>
      <c r="R74" s="82" t="s">
        <v>689</v>
      </c>
      <c r="S74" s="73" t="s">
        <v>394</v>
      </c>
      <c r="T74" s="86"/>
    </row>
    <row r="75" spans="14:20">
      <c r="N75" s="73" t="s">
        <v>690</v>
      </c>
      <c r="O75" s="73" t="s">
        <v>691</v>
      </c>
      <c r="P75" s="73"/>
      <c r="Q75" s="73" t="s">
        <v>692</v>
      </c>
      <c r="R75" s="82" t="s">
        <v>693</v>
      </c>
      <c r="S75" s="73" t="s">
        <v>394</v>
      </c>
      <c r="T75" s="86"/>
    </row>
    <row r="76" spans="14:20">
      <c r="N76" s="73" t="s">
        <v>694</v>
      </c>
      <c r="O76" s="73" t="s">
        <v>695</v>
      </c>
      <c r="P76" s="73"/>
      <c r="Q76" s="73" t="s">
        <v>696</v>
      </c>
      <c r="R76" s="82" t="s">
        <v>697</v>
      </c>
      <c r="S76" s="73" t="s">
        <v>394</v>
      </c>
      <c r="T76" s="86"/>
    </row>
    <row r="77" spans="14:20">
      <c r="N77" s="73"/>
      <c r="O77" s="73" t="s">
        <v>698</v>
      </c>
      <c r="P77" s="73"/>
      <c r="Q77" s="73" t="s">
        <v>699</v>
      </c>
      <c r="R77" s="82" t="s">
        <v>700</v>
      </c>
      <c r="S77" s="73" t="s">
        <v>394</v>
      </c>
      <c r="T77" s="86"/>
    </row>
    <row r="78" spans="14:20">
      <c r="N78" s="73"/>
      <c r="O78" s="73"/>
      <c r="P78" s="73"/>
      <c r="Q78" s="73" t="s">
        <v>701</v>
      </c>
      <c r="R78" s="82" t="s">
        <v>702</v>
      </c>
      <c r="S78" s="73" t="s">
        <v>394</v>
      </c>
      <c r="T78" s="86"/>
    </row>
    <row r="79" spans="14:20">
      <c r="N79" s="73"/>
      <c r="O79" s="73"/>
      <c r="P79" s="73"/>
      <c r="Q79" s="73" t="s">
        <v>703</v>
      </c>
      <c r="R79" s="82" t="s">
        <v>704</v>
      </c>
      <c r="S79" s="73"/>
      <c r="T79" s="86"/>
    </row>
    <row r="80" spans="14:20">
      <c r="N80" s="73"/>
      <c r="O80" s="73"/>
      <c r="P80" s="73"/>
      <c r="Q80" s="73" t="s">
        <v>705</v>
      </c>
      <c r="R80" s="82" t="s">
        <v>706</v>
      </c>
      <c r="S80" s="73" t="s">
        <v>356</v>
      </c>
      <c r="T80" s="86"/>
    </row>
    <row r="81" spans="14:20">
      <c r="N81" s="73"/>
      <c r="O81" s="73"/>
      <c r="P81" s="73"/>
      <c r="Q81" s="73" t="s">
        <v>707</v>
      </c>
      <c r="R81" s="82" t="s">
        <v>708</v>
      </c>
      <c r="S81" s="73" t="s">
        <v>367</v>
      </c>
      <c r="T81" s="86"/>
    </row>
    <row r="82" spans="14:20">
      <c r="N82" s="73"/>
      <c r="O82" s="73"/>
      <c r="P82" s="73"/>
      <c r="Q82" s="73" t="s">
        <v>709</v>
      </c>
      <c r="R82" s="82" t="s">
        <v>710</v>
      </c>
      <c r="S82" s="73" t="s">
        <v>400</v>
      </c>
      <c r="T82" s="86"/>
    </row>
    <row r="83" spans="14:20">
      <c r="N83" s="73"/>
      <c r="O83" s="73"/>
      <c r="P83" s="73"/>
      <c r="Q83" s="73" t="s">
        <v>711</v>
      </c>
      <c r="R83" s="82" t="s">
        <v>712</v>
      </c>
      <c r="S83" s="73" t="s">
        <v>442</v>
      </c>
      <c r="T83" s="86"/>
    </row>
    <row r="84" spans="14:20">
      <c r="N84" s="73"/>
      <c r="O84" s="73"/>
      <c r="P84" s="73"/>
      <c r="Q84" s="73" t="s">
        <v>713</v>
      </c>
      <c r="R84" s="82" t="s">
        <v>714</v>
      </c>
      <c r="S84" s="73" t="s">
        <v>356</v>
      </c>
      <c r="T84" s="86"/>
    </row>
    <row r="85" spans="14:20">
      <c r="N85" s="73"/>
      <c r="O85" s="73"/>
      <c r="P85" s="73"/>
      <c r="Q85" s="73" t="s">
        <v>713</v>
      </c>
      <c r="R85" s="82" t="s">
        <v>715</v>
      </c>
      <c r="S85" s="73" t="s">
        <v>367</v>
      </c>
      <c r="T85" s="86"/>
    </row>
    <row r="86" spans="14:20">
      <c r="N86" s="73"/>
      <c r="O86" s="73"/>
      <c r="P86" s="73"/>
      <c r="Q86" s="73" t="s">
        <v>713</v>
      </c>
      <c r="R86" s="82" t="s">
        <v>716</v>
      </c>
      <c r="S86" s="73" t="s">
        <v>400</v>
      </c>
      <c r="T86" s="86"/>
    </row>
    <row r="87" spans="14:20">
      <c r="N87" s="73"/>
      <c r="O87" s="73"/>
      <c r="P87" s="73"/>
      <c r="Q87" s="73" t="s">
        <v>713</v>
      </c>
      <c r="R87" s="82" t="s">
        <v>717</v>
      </c>
      <c r="S87" s="73" t="s">
        <v>442</v>
      </c>
      <c r="T87" s="86"/>
    </row>
    <row r="88" spans="14:20">
      <c r="N88" s="73"/>
      <c r="O88" s="73"/>
      <c r="P88" s="73"/>
      <c r="Q88" s="73" t="s">
        <v>718</v>
      </c>
      <c r="R88" s="82" t="s">
        <v>719</v>
      </c>
      <c r="S88" s="73" t="s">
        <v>356</v>
      </c>
      <c r="T88" s="86"/>
    </row>
    <row r="89" spans="14:20">
      <c r="N89" s="73"/>
      <c r="O89" s="73"/>
      <c r="P89" s="73"/>
      <c r="Q89" s="73" t="s">
        <v>718</v>
      </c>
      <c r="R89" s="82" t="s">
        <v>720</v>
      </c>
      <c r="S89" s="73" t="s">
        <v>367</v>
      </c>
      <c r="T89" s="86"/>
    </row>
    <row r="90" spans="14:20">
      <c r="N90" s="73"/>
      <c r="O90" s="73"/>
      <c r="P90" s="73"/>
      <c r="Q90" s="73" t="s">
        <v>718</v>
      </c>
      <c r="R90" s="82" t="s">
        <v>721</v>
      </c>
      <c r="S90" s="73" t="s">
        <v>400</v>
      </c>
      <c r="T90" s="86"/>
    </row>
    <row r="91" spans="14:20">
      <c r="N91" s="73"/>
      <c r="O91" s="73"/>
      <c r="P91" s="73"/>
      <c r="Q91" s="73" t="s">
        <v>718</v>
      </c>
      <c r="R91" s="82" t="s">
        <v>722</v>
      </c>
      <c r="S91" s="73" t="s">
        <v>373</v>
      </c>
      <c r="T91" s="86"/>
    </row>
    <row r="92" spans="14:20">
      <c r="N92" s="73"/>
      <c r="O92" s="73"/>
      <c r="P92" s="73"/>
      <c r="Q92" s="73" t="s">
        <v>723</v>
      </c>
      <c r="R92" s="82" t="s">
        <v>724</v>
      </c>
      <c r="S92" s="73" t="s">
        <v>356</v>
      </c>
      <c r="T92" s="86"/>
    </row>
    <row r="93" spans="14:20">
      <c r="N93" s="73"/>
      <c r="O93" s="73"/>
      <c r="P93" s="73"/>
      <c r="Q93" s="73" t="s">
        <v>723</v>
      </c>
      <c r="R93" s="82" t="s">
        <v>725</v>
      </c>
      <c r="S93" s="73" t="s">
        <v>367</v>
      </c>
      <c r="T93" s="86"/>
    </row>
    <row r="94" spans="14:20">
      <c r="N94" s="73"/>
      <c r="O94" s="73"/>
      <c r="P94" s="73"/>
      <c r="Q94" s="73" t="s">
        <v>723</v>
      </c>
      <c r="R94" s="82" t="s">
        <v>726</v>
      </c>
      <c r="S94" s="73" t="s">
        <v>400</v>
      </c>
      <c r="T94" s="86"/>
    </row>
    <row r="95" spans="14:20">
      <c r="N95" s="73"/>
      <c r="O95" s="73"/>
      <c r="P95" s="73"/>
      <c r="Q95" s="73" t="s">
        <v>723</v>
      </c>
      <c r="R95" s="82" t="s">
        <v>727</v>
      </c>
      <c r="S95" s="73" t="s">
        <v>442</v>
      </c>
      <c r="T95" s="86"/>
    </row>
    <row r="96" spans="14:20">
      <c r="N96" s="73"/>
      <c r="O96" s="73"/>
      <c r="P96" s="73"/>
      <c r="Q96" s="73" t="s">
        <v>728</v>
      </c>
      <c r="R96" s="82" t="s">
        <v>729</v>
      </c>
      <c r="S96" s="73" t="s">
        <v>356</v>
      </c>
      <c r="T96" s="86"/>
    </row>
    <row r="97" spans="14:20">
      <c r="N97" s="73"/>
      <c r="O97" s="73"/>
      <c r="P97" s="73"/>
      <c r="Q97" s="73" t="s">
        <v>728</v>
      </c>
      <c r="R97" s="82" t="s">
        <v>730</v>
      </c>
      <c r="S97" s="73" t="s">
        <v>367</v>
      </c>
      <c r="T97" s="86"/>
    </row>
    <row r="98" spans="14:20">
      <c r="N98" s="73"/>
      <c r="O98" s="73"/>
      <c r="P98" s="73"/>
      <c r="Q98" s="73" t="s">
        <v>728</v>
      </c>
      <c r="R98" s="82" t="s">
        <v>731</v>
      </c>
      <c r="S98" s="73" t="s">
        <v>400</v>
      </c>
      <c r="T98" s="73"/>
    </row>
    <row r="99" spans="14:20">
      <c r="N99" s="73"/>
      <c r="O99" s="73"/>
      <c r="P99" s="73"/>
      <c r="Q99" s="73" t="s">
        <v>728</v>
      </c>
      <c r="R99" s="82" t="s">
        <v>732</v>
      </c>
      <c r="S99" s="73" t="s">
        <v>373</v>
      </c>
      <c r="T99" s="73"/>
    </row>
    <row r="100" spans="14:20">
      <c r="N100" s="73"/>
      <c r="O100" s="73"/>
      <c r="P100" s="73"/>
      <c r="Q100" s="73" t="s">
        <v>733</v>
      </c>
      <c r="R100" s="82" t="s">
        <v>734</v>
      </c>
      <c r="S100" s="73" t="s">
        <v>356</v>
      </c>
      <c r="T100" s="73"/>
    </row>
    <row r="101" spans="14:20">
      <c r="N101" s="73"/>
      <c r="O101" s="73"/>
      <c r="P101" s="73"/>
      <c r="Q101" s="73" t="s">
        <v>733</v>
      </c>
      <c r="R101" s="82" t="s">
        <v>735</v>
      </c>
      <c r="S101" s="73" t="s">
        <v>367</v>
      </c>
      <c r="T101" s="73"/>
    </row>
    <row r="102" spans="14:20">
      <c r="N102" s="73"/>
      <c r="O102" s="73"/>
      <c r="P102" s="73"/>
      <c r="Q102" s="73" t="s">
        <v>733</v>
      </c>
      <c r="R102" s="82" t="s">
        <v>736</v>
      </c>
      <c r="S102" s="73" t="s">
        <v>400</v>
      </c>
      <c r="T102" s="73"/>
    </row>
    <row r="103" spans="14:20">
      <c r="N103" s="73"/>
      <c r="O103" s="73"/>
      <c r="P103" s="73"/>
      <c r="Q103" s="73" t="s">
        <v>733</v>
      </c>
      <c r="R103" s="82" t="s">
        <v>737</v>
      </c>
      <c r="S103" s="73" t="s">
        <v>373</v>
      </c>
      <c r="T103" s="73"/>
    </row>
    <row r="104" spans="14:20">
      <c r="N104" s="73"/>
      <c r="O104" s="73"/>
      <c r="P104" s="73"/>
      <c r="Q104" s="73" t="s">
        <v>738</v>
      </c>
      <c r="R104" s="82" t="s">
        <v>739</v>
      </c>
      <c r="S104" s="73" t="s">
        <v>356</v>
      </c>
      <c r="T104" s="73"/>
    </row>
    <row r="105" spans="14:20">
      <c r="N105" s="73"/>
      <c r="O105" s="73"/>
      <c r="P105" s="73"/>
      <c r="Q105" s="73" t="s">
        <v>738</v>
      </c>
      <c r="R105" s="82" t="s">
        <v>740</v>
      </c>
      <c r="S105" s="73" t="s">
        <v>367</v>
      </c>
      <c r="T105" s="73"/>
    </row>
    <row r="106" spans="14:20">
      <c r="N106" s="73"/>
      <c r="O106" s="73"/>
      <c r="P106" s="73"/>
      <c r="Q106" s="73" t="s">
        <v>738</v>
      </c>
      <c r="R106" s="82" t="s">
        <v>741</v>
      </c>
      <c r="S106" s="73" t="s">
        <v>400</v>
      </c>
      <c r="T106" s="73"/>
    </row>
    <row r="107" spans="14:20">
      <c r="N107" s="73"/>
      <c r="O107" s="73"/>
      <c r="P107" s="73"/>
      <c r="Q107" s="73" t="s">
        <v>738</v>
      </c>
      <c r="R107" s="82" t="s">
        <v>742</v>
      </c>
      <c r="S107" s="73" t="s">
        <v>373</v>
      </c>
      <c r="T107" s="73"/>
    </row>
    <row r="108" spans="14:20">
      <c r="N108" s="73"/>
      <c r="O108" s="73"/>
      <c r="P108" s="73"/>
      <c r="Q108" s="73" t="s">
        <v>743</v>
      </c>
      <c r="R108" s="82" t="s">
        <v>744</v>
      </c>
      <c r="S108" s="73" t="s">
        <v>367</v>
      </c>
      <c r="T108" s="73"/>
    </row>
  </sheetData>
  <mergeCells count="57">
    <mergeCell ref="A1:L1"/>
    <mergeCell ref="N1:S1"/>
    <mergeCell ref="E2:L2"/>
    <mergeCell ref="N3:S3"/>
    <mergeCell ref="A4:L4"/>
    <mergeCell ref="A5:D5"/>
    <mergeCell ref="A6:D6"/>
    <mergeCell ref="A7:D7"/>
    <mergeCell ref="A8:D8"/>
    <mergeCell ref="A9:L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6:L26"/>
    <mergeCell ref="A27:L27"/>
    <mergeCell ref="A28:D28"/>
    <mergeCell ref="E28:F28"/>
    <mergeCell ref="H28:J28"/>
    <mergeCell ref="K28:L28"/>
    <mergeCell ref="A29:D29"/>
    <mergeCell ref="E29:F29"/>
    <mergeCell ref="A30:D30"/>
    <mergeCell ref="E30:F30"/>
    <mergeCell ref="A31:D31"/>
    <mergeCell ref="E31:F31"/>
    <mergeCell ref="A32:D32"/>
    <mergeCell ref="E32:F32"/>
    <mergeCell ref="H32:J32"/>
    <mergeCell ref="K32:L32"/>
    <mergeCell ref="A33:D33"/>
    <mergeCell ref="E33:F33"/>
    <mergeCell ref="H33:J33"/>
    <mergeCell ref="A34:D34"/>
    <mergeCell ref="E34:F34"/>
    <mergeCell ref="H34:J34"/>
    <mergeCell ref="A35:D35"/>
    <mergeCell ref="E35:F35"/>
    <mergeCell ref="H35:J35"/>
    <mergeCell ref="A36:D36"/>
    <mergeCell ref="E36:F36"/>
    <mergeCell ref="H36:J36"/>
    <mergeCell ref="K36:L36"/>
    <mergeCell ref="A37:L37"/>
    <mergeCell ref="A2:D3"/>
    <mergeCell ref="A22:L24"/>
    <mergeCell ref="H29:J31"/>
    <mergeCell ref="K29:L31"/>
    <mergeCell ref="K33:L3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41"/>
  <sheetViews>
    <sheetView workbookViewId="0">
      <selection activeCell="L1" sqref="L$1:L$1048576"/>
    </sheetView>
  </sheetViews>
  <sheetFormatPr defaultColWidth="9" defaultRowHeight="15"/>
  <cols>
    <col min="1" max="1" width="12" style="1" customWidth="1"/>
    <col min="2" max="2" width="11.625" style="1" customWidth="1"/>
    <col min="3" max="3" width="48.375" style="1" customWidth="1"/>
    <col min="4" max="4" width="7.625" style="1" customWidth="1"/>
    <col min="5" max="5" width="9" style="1"/>
    <col min="6" max="6" width="12.625" style="1" customWidth="1"/>
    <col min="7" max="7" width="11" style="1" customWidth="1"/>
    <col min="8" max="8" width="9" style="1"/>
    <col min="9" max="10" width="12.125" style="1" customWidth="1"/>
    <col min="11" max="11" width="19.375" style="1" customWidth="1"/>
    <col min="12" max="16384" width="9" style="1"/>
  </cols>
  <sheetData>
    <row r="1" ht="15.6" spans="1:1">
      <c r="A1" s="2" t="s">
        <v>837</v>
      </c>
    </row>
    <row r="2" ht="25.2" spans="1:11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</row>
    <row r="3" spans="1:11">
      <c r="A3" s="5" t="s">
        <v>37</v>
      </c>
      <c r="B3" s="6" t="s">
        <v>838</v>
      </c>
      <c r="C3" s="7" t="s">
        <v>839</v>
      </c>
      <c r="D3" s="8">
        <f t="array" ref="D3">LEN(C3)-SUM((LEN(C3)-LEN(SUBSTITUTE(C3,修饰名称!$E$2:$E$93,修饰名称!$F$2:$F$93))))</f>
        <v>20</v>
      </c>
      <c r="E3" s="6">
        <v>1</v>
      </c>
      <c r="F3" s="9">
        <v>2</v>
      </c>
      <c r="G3" s="10" t="s">
        <v>40</v>
      </c>
      <c r="H3" s="11"/>
      <c r="I3" s="16"/>
      <c r="J3" s="16"/>
      <c r="K3" s="16"/>
    </row>
    <row r="4" spans="1:11">
      <c r="A4" s="5" t="s">
        <v>41</v>
      </c>
      <c r="B4" s="6" t="s">
        <v>840</v>
      </c>
      <c r="C4" s="7" t="s">
        <v>841</v>
      </c>
      <c r="D4" s="8">
        <f t="array" ref="D4">LEN(C4)-SUM((LEN(C4)-LEN(SUBSTITUTE(C4,修饰名称!$E$2:$E$93,修饰名称!$F$2:$F$93))))</f>
        <v>20</v>
      </c>
      <c r="E4" s="6">
        <v>1</v>
      </c>
      <c r="F4" s="9">
        <v>5</v>
      </c>
      <c r="G4" s="10" t="s">
        <v>757</v>
      </c>
      <c r="H4" s="11"/>
      <c r="I4" s="16"/>
      <c r="J4" s="16"/>
      <c r="K4" s="16"/>
    </row>
    <row r="5" spans="1:11">
      <c r="A5" s="5" t="s">
        <v>44</v>
      </c>
      <c r="B5" s="6" t="s">
        <v>842</v>
      </c>
      <c r="C5" s="7" t="s">
        <v>843</v>
      </c>
      <c r="D5" s="8">
        <f t="array" ref="D5">LEN(C5)-SUM((LEN(C5)-LEN(SUBSTITUTE(C5,修饰名称!$E$2:$E$93,修饰名称!$F$2:$F$93))))</f>
        <v>20</v>
      </c>
      <c r="E5" s="6">
        <v>1</v>
      </c>
      <c r="F5" s="9">
        <v>10</v>
      </c>
      <c r="G5" s="10" t="s">
        <v>758</v>
      </c>
      <c r="H5" s="11"/>
      <c r="I5" s="16"/>
      <c r="J5" s="16"/>
      <c r="K5" s="16"/>
    </row>
    <row r="6" spans="1:11">
      <c r="A6" s="5" t="s">
        <v>47</v>
      </c>
      <c r="B6" s="6" t="s">
        <v>844</v>
      </c>
      <c r="C6" s="7" t="s">
        <v>845</v>
      </c>
      <c r="D6" s="8">
        <f t="array" ref="D6">LEN(C6)-SUM((LEN(C6)-LEN(SUBSTITUTE(C6,修饰名称!$E$2:$E$93,修饰名称!$F$2:$F$93))))</f>
        <v>20</v>
      </c>
      <c r="E6" s="6">
        <v>1</v>
      </c>
      <c r="F6" s="9">
        <v>2</v>
      </c>
      <c r="G6" s="10" t="s">
        <v>760</v>
      </c>
      <c r="H6" s="11"/>
      <c r="I6" s="16"/>
      <c r="J6" s="16"/>
      <c r="K6" s="16"/>
    </row>
    <row r="7" spans="1:11">
      <c r="A7" s="5" t="s">
        <v>49</v>
      </c>
      <c r="B7" s="6" t="s">
        <v>846</v>
      </c>
      <c r="C7" s="7" t="s">
        <v>847</v>
      </c>
      <c r="D7" s="8">
        <f t="array" ref="D7">LEN(C7)-SUM((LEN(C7)-LEN(SUBSTITUTE(C7,修饰名称!$E$2:$E$93,修饰名称!$F$2:$F$93))))</f>
        <v>20</v>
      </c>
      <c r="E7" s="6">
        <v>1</v>
      </c>
      <c r="F7" s="9">
        <v>5</v>
      </c>
      <c r="G7" s="10" t="s">
        <v>761</v>
      </c>
      <c r="H7" s="11"/>
      <c r="I7" s="16"/>
      <c r="J7" s="16"/>
      <c r="K7" s="16"/>
    </row>
    <row r="9" ht="15.6" spans="1:1">
      <c r="A9" s="2" t="s">
        <v>848</v>
      </c>
    </row>
    <row r="10" ht="25.2" spans="1:11">
      <c r="A10" s="3" t="s">
        <v>26</v>
      </c>
      <c r="B10" s="4" t="s">
        <v>27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35</v>
      </c>
      <c r="K10" s="4" t="s">
        <v>36</v>
      </c>
    </row>
    <row r="11" spans="1:11">
      <c r="A11" s="5" t="s">
        <v>37</v>
      </c>
      <c r="B11" s="6" t="s">
        <v>838</v>
      </c>
      <c r="C11" s="7" t="s">
        <v>839</v>
      </c>
      <c r="D11" s="8">
        <f t="array" ref="D11">LEN(C11)-SUM((LEN(C11)-LEN(SUBSTITUTE(C11,修饰名称!$E$2:$E$93,修饰名称!$F$2:$F$93))))</f>
        <v>20</v>
      </c>
      <c r="E11" s="6">
        <v>1</v>
      </c>
      <c r="F11" s="6"/>
      <c r="G11" s="10" t="s">
        <v>40</v>
      </c>
      <c r="H11" s="9">
        <v>10</v>
      </c>
      <c r="I11" s="16"/>
      <c r="J11" s="16"/>
      <c r="K11" s="16"/>
    </row>
    <row r="12" spans="1:11">
      <c r="A12" s="5" t="s">
        <v>41</v>
      </c>
      <c r="B12" s="6" t="s">
        <v>840</v>
      </c>
      <c r="C12" s="7" t="s">
        <v>841</v>
      </c>
      <c r="D12" s="8">
        <f t="array" ref="D12">LEN(C12)-SUM((LEN(C12)-LEN(SUBSTITUTE(C12,修饰名称!$E$2:$E$93,修饰名称!$F$2:$F$93))))</f>
        <v>20</v>
      </c>
      <c r="E12" s="6">
        <v>1</v>
      </c>
      <c r="F12" s="6"/>
      <c r="G12" s="10" t="s">
        <v>757</v>
      </c>
      <c r="H12" s="9">
        <v>25</v>
      </c>
      <c r="I12" s="16"/>
      <c r="J12" s="16"/>
      <c r="K12" s="16"/>
    </row>
    <row r="13" spans="1:11">
      <c r="A13" s="5" t="s">
        <v>44</v>
      </c>
      <c r="B13" s="6" t="s">
        <v>842</v>
      </c>
      <c r="C13" s="7" t="s">
        <v>843</v>
      </c>
      <c r="D13" s="8">
        <f t="array" ref="D13">LEN(C13)-SUM((LEN(C13)-LEN(SUBSTITUTE(C13,修饰名称!$E$2:$E$93,修饰名称!$F$2:$F$93))))</f>
        <v>20</v>
      </c>
      <c r="E13" s="6">
        <v>1</v>
      </c>
      <c r="F13" s="6"/>
      <c r="G13" s="10" t="s">
        <v>758</v>
      </c>
      <c r="H13" s="9">
        <v>50</v>
      </c>
      <c r="I13" s="16"/>
      <c r="J13" s="16"/>
      <c r="K13" s="16"/>
    </row>
    <row r="14" spans="1:11">
      <c r="A14" s="5" t="s">
        <v>47</v>
      </c>
      <c r="B14" s="6" t="s">
        <v>844</v>
      </c>
      <c r="C14" s="7" t="s">
        <v>845</v>
      </c>
      <c r="D14" s="8">
        <f t="array" ref="D14">LEN(C14)-SUM((LEN(C14)-LEN(SUBSTITUTE(C14,修饰名称!$E$2:$E$93,修饰名称!$F$2:$F$93))))</f>
        <v>20</v>
      </c>
      <c r="E14" s="6">
        <v>1</v>
      </c>
      <c r="F14" s="12"/>
      <c r="G14" s="10" t="s">
        <v>760</v>
      </c>
      <c r="H14" s="9">
        <v>10</v>
      </c>
      <c r="I14" s="16"/>
      <c r="J14" s="16"/>
      <c r="K14" s="16"/>
    </row>
    <row r="15" spans="1:11">
      <c r="A15" s="5" t="s">
        <v>49</v>
      </c>
      <c r="B15" s="6" t="s">
        <v>846</v>
      </c>
      <c r="C15" s="7" t="s">
        <v>847</v>
      </c>
      <c r="D15" s="8">
        <f t="array" ref="D15">LEN(C15)-SUM((LEN(C15)-LEN(SUBSTITUTE(C15,修饰名称!$E$2:$E$93,修饰名称!$F$2:$F$93))))</f>
        <v>20</v>
      </c>
      <c r="E15" s="6">
        <v>1</v>
      </c>
      <c r="F15" s="12"/>
      <c r="G15" s="10" t="s">
        <v>761</v>
      </c>
      <c r="H15" s="9">
        <v>25</v>
      </c>
      <c r="I15" s="16"/>
      <c r="J15" s="16"/>
      <c r="K15" s="16"/>
    </row>
    <row r="17" ht="15.6" spans="1:1">
      <c r="A17" s="2" t="s">
        <v>849</v>
      </c>
    </row>
    <row r="18" ht="25.2" spans="1:11">
      <c r="A18" s="3" t="s">
        <v>26</v>
      </c>
      <c r="B18" s="4" t="s">
        <v>27</v>
      </c>
      <c r="C18" s="4" t="s">
        <v>28</v>
      </c>
      <c r="D18" s="4" t="s">
        <v>29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35</v>
      </c>
      <c r="K18" s="4" t="s">
        <v>36</v>
      </c>
    </row>
    <row r="19" spans="1:11">
      <c r="A19" s="5" t="s">
        <v>37</v>
      </c>
      <c r="B19" s="6" t="s">
        <v>838</v>
      </c>
      <c r="C19" s="7" t="s">
        <v>839</v>
      </c>
      <c r="D19" s="8">
        <f t="array" ref="D19">LEN(C19)-SUM((LEN(C19)-LEN(SUBSTITUTE(C19,修饰名称!$E$2:$E$93,修饰名称!$F$2:$F$93))))</f>
        <v>20</v>
      </c>
      <c r="E19" s="6">
        <v>1</v>
      </c>
      <c r="F19" s="6">
        <v>2</v>
      </c>
      <c r="G19" s="10" t="s">
        <v>758</v>
      </c>
      <c r="H19" s="6"/>
      <c r="I19" s="17" t="s">
        <v>351</v>
      </c>
      <c r="J19" s="16"/>
      <c r="K19" s="16"/>
    </row>
    <row r="20" spans="1:11">
      <c r="A20" s="5" t="s">
        <v>41</v>
      </c>
      <c r="B20" s="6" t="s">
        <v>840</v>
      </c>
      <c r="C20" s="7" t="s">
        <v>841</v>
      </c>
      <c r="D20" s="8">
        <f t="array" ref="D20">LEN(C20)-SUM((LEN(C20)-LEN(SUBSTITUTE(C20,修饰名称!$E$2:$E$93,修饰名称!$F$2:$F$93))))</f>
        <v>20</v>
      </c>
      <c r="E20" s="6">
        <v>1</v>
      </c>
      <c r="F20" s="6">
        <v>5</v>
      </c>
      <c r="G20" s="10" t="s">
        <v>758</v>
      </c>
      <c r="H20" s="6"/>
      <c r="I20" s="17" t="s">
        <v>453</v>
      </c>
      <c r="J20" s="16"/>
      <c r="K20" s="16"/>
    </row>
    <row r="21" spans="1:11">
      <c r="A21" s="5" t="s">
        <v>44</v>
      </c>
      <c r="B21" s="6" t="s">
        <v>842</v>
      </c>
      <c r="C21" s="7" t="s">
        <v>843</v>
      </c>
      <c r="D21" s="8">
        <f t="array" ref="D21">LEN(C21)-SUM((LEN(C21)-LEN(SUBSTITUTE(C21,修饰名称!$E$2:$E$93,修饰名称!$F$2:$F$93))))</f>
        <v>20</v>
      </c>
      <c r="E21" s="6">
        <v>1</v>
      </c>
      <c r="F21" s="6">
        <v>10</v>
      </c>
      <c r="G21" s="10" t="s">
        <v>758</v>
      </c>
      <c r="H21" s="6"/>
      <c r="I21" s="17" t="s">
        <v>614</v>
      </c>
      <c r="J21" s="16"/>
      <c r="K21" s="16"/>
    </row>
    <row r="23" ht="15.6" spans="1:1">
      <c r="A23" s="2" t="s">
        <v>850</v>
      </c>
    </row>
    <row r="24" ht="25.2" spans="1:11">
      <c r="A24" s="3" t="s">
        <v>26</v>
      </c>
      <c r="B24" s="4" t="s">
        <v>27</v>
      </c>
      <c r="C24" s="4" t="s">
        <v>28</v>
      </c>
      <c r="D24" s="4" t="s">
        <v>29</v>
      </c>
      <c r="E24" s="4" t="s">
        <v>30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35</v>
      </c>
      <c r="K24" s="4" t="s">
        <v>36</v>
      </c>
    </row>
    <row r="25" spans="1:11">
      <c r="A25" s="5" t="s">
        <v>37</v>
      </c>
      <c r="B25" s="6" t="s">
        <v>838</v>
      </c>
      <c r="C25" s="7" t="s">
        <v>839</v>
      </c>
      <c r="D25" s="8">
        <f t="array" ref="D25">LEN(C25)-SUM((LEN(C25)-LEN(SUBSTITUTE(C25,修饰名称!$E$2:$E$93,修饰名称!$F$2:$F$93))))</f>
        <v>20</v>
      </c>
      <c r="E25" s="6">
        <v>1</v>
      </c>
      <c r="F25" s="6">
        <v>2</v>
      </c>
      <c r="G25" s="10" t="s">
        <v>758</v>
      </c>
      <c r="H25" s="6"/>
      <c r="I25" s="18"/>
      <c r="J25" s="17" t="s">
        <v>643</v>
      </c>
      <c r="K25" s="16"/>
    </row>
    <row r="26" spans="1:11">
      <c r="A26" s="5" t="s">
        <v>41</v>
      </c>
      <c r="B26" s="6" t="s">
        <v>840</v>
      </c>
      <c r="C26" s="7" t="s">
        <v>841</v>
      </c>
      <c r="D26" s="8">
        <f t="array" ref="D26">LEN(C26)-SUM((LEN(C26)-LEN(SUBSTITUTE(C26,修饰名称!$E$2:$E$93,修饰名称!$F$2:$F$93))))</f>
        <v>20</v>
      </c>
      <c r="E26" s="6">
        <v>1</v>
      </c>
      <c r="F26" s="6">
        <v>5</v>
      </c>
      <c r="G26" s="10" t="s">
        <v>758</v>
      </c>
      <c r="H26" s="6"/>
      <c r="I26" s="18"/>
      <c r="J26" s="17" t="s">
        <v>554</v>
      </c>
      <c r="K26" s="16"/>
    </row>
    <row r="27" spans="1:11">
      <c r="A27" s="5" t="s">
        <v>44</v>
      </c>
      <c r="B27" s="6" t="s">
        <v>842</v>
      </c>
      <c r="C27" s="7" t="s">
        <v>843</v>
      </c>
      <c r="D27" s="8">
        <f t="array" ref="D27">LEN(C27)-SUM((LEN(C27)-LEN(SUBSTITUTE(C27,修饰名称!$E$2:$E$93,修饰名称!$F$2:$F$93))))</f>
        <v>20</v>
      </c>
      <c r="E27" s="6">
        <v>1</v>
      </c>
      <c r="F27" s="6">
        <v>10</v>
      </c>
      <c r="G27" s="10" t="s">
        <v>758</v>
      </c>
      <c r="H27" s="6"/>
      <c r="I27" s="18"/>
      <c r="J27" s="17" t="s">
        <v>683</v>
      </c>
      <c r="K27" s="16"/>
    </row>
    <row r="29" ht="15.6" spans="1:1">
      <c r="A29" s="2" t="s">
        <v>851</v>
      </c>
    </row>
    <row r="30" ht="25.2" spans="1:11">
      <c r="A30" s="3" t="s">
        <v>26</v>
      </c>
      <c r="B30" s="4" t="s">
        <v>27</v>
      </c>
      <c r="C30" s="4" t="s">
        <v>28</v>
      </c>
      <c r="D30" s="4" t="s">
        <v>29</v>
      </c>
      <c r="E30" s="4" t="s">
        <v>30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35</v>
      </c>
      <c r="K30" s="4" t="s">
        <v>36</v>
      </c>
    </row>
    <row r="31" spans="1:11">
      <c r="A31" s="5" t="s">
        <v>37</v>
      </c>
      <c r="B31" s="6" t="s">
        <v>838</v>
      </c>
      <c r="C31" s="7" t="s">
        <v>839</v>
      </c>
      <c r="D31" s="8">
        <f t="array" ref="D31">LEN(C31)-SUM((LEN(C31)-LEN(SUBSTITUTE(C31,修饰名称!$E$2:$E$93,修饰名称!$F$2:$F$93))))</f>
        <v>20</v>
      </c>
      <c r="E31" s="6">
        <v>1</v>
      </c>
      <c r="F31" s="6">
        <v>2</v>
      </c>
      <c r="G31" s="10" t="s">
        <v>758</v>
      </c>
      <c r="H31" s="6"/>
      <c r="I31" s="16"/>
      <c r="J31" s="16"/>
      <c r="K31" s="17" t="s">
        <v>852</v>
      </c>
    </row>
    <row r="32" spans="1:11">
      <c r="A32" s="5" t="s">
        <v>41</v>
      </c>
      <c r="B32" s="6" t="s">
        <v>840</v>
      </c>
      <c r="C32" s="7" t="s">
        <v>841</v>
      </c>
      <c r="D32" s="8">
        <f t="array" ref="D32">LEN(C32)-SUM((LEN(C32)-LEN(SUBSTITUTE(C32,修饰名称!$E$2:$E$93,修饰名称!$F$2:$F$93))))</f>
        <v>20</v>
      </c>
      <c r="E32" s="6">
        <v>1</v>
      </c>
      <c r="F32" s="6">
        <v>5</v>
      </c>
      <c r="G32" s="10" t="s">
        <v>758</v>
      </c>
      <c r="H32" s="6"/>
      <c r="I32" s="16"/>
      <c r="J32" s="16"/>
      <c r="K32" s="17" t="s">
        <v>853</v>
      </c>
    </row>
    <row r="33" spans="1:11">
      <c r="A33" s="5" t="s">
        <v>44</v>
      </c>
      <c r="B33" s="6" t="s">
        <v>842</v>
      </c>
      <c r="C33" s="7" t="s">
        <v>843</v>
      </c>
      <c r="D33" s="8">
        <f t="array" ref="D33">LEN(C33)-SUM((LEN(C33)-LEN(SUBSTITUTE(C33,修饰名称!$E$2:$E$93,修饰名称!$F$2:$F$93))))</f>
        <v>20</v>
      </c>
      <c r="E33" s="6">
        <v>1</v>
      </c>
      <c r="F33" s="6">
        <v>10</v>
      </c>
      <c r="G33" s="10" t="s">
        <v>758</v>
      </c>
      <c r="H33" s="6"/>
      <c r="I33" s="16"/>
      <c r="J33" s="16"/>
      <c r="K33" s="17" t="s">
        <v>854</v>
      </c>
    </row>
    <row r="35" ht="15.6" spans="1:1">
      <c r="A35" s="2" t="s">
        <v>855</v>
      </c>
    </row>
    <row r="36" ht="25.2" spans="1:11">
      <c r="A36" s="3" t="s">
        <v>26</v>
      </c>
      <c r="B36" s="4" t="s">
        <v>27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35</v>
      </c>
      <c r="K36" s="4" t="s">
        <v>36</v>
      </c>
    </row>
    <row r="37" spans="1:11">
      <c r="A37" s="5" t="s">
        <v>37</v>
      </c>
      <c r="B37" s="6" t="s">
        <v>838</v>
      </c>
      <c r="C37" s="13" t="s">
        <v>856</v>
      </c>
      <c r="D37" s="8">
        <f t="array" ref="D37">LEN(C37)-SUM((LEN(C37)-LEN(SUBSTITUTE(C37,修饰名称!$E$2:$E$93,修饰名称!$F$2:$F$93))))</f>
        <v>19</v>
      </c>
      <c r="E37" s="6">
        <v>1</v>
      </c>
      <c r="F37" s="6">
        <v>2</v>
      </c>
      <c r="G37" s="10" t="s">
        <v>758</v>
      </c>
      <c r="H37" s="11"/>
      <c r="I37" s="16"/>
      <c r="J37" s="16"/>
      <c r="K37" s="18"/>
    </row>
    <row r="38" spans="1:11">
      <c r="A38" s="5" t="s">
        <v>41</v>
      </c>
      <c r="B38" s="6" t="s">
        <v>840</v>
      </c>
      <c r="C38" s="13" t="s">
        <v>857</v>
      </c>
      <c r="D38" s="8">
        <f t="array" ref="D38">LEN(C38)-SUM((LEN(C38)-LEN(SUBSTITUTE(C38,修饰名称!$E$2:$E$93,修饰名称!$F$2:$F$93))))</f>
        <v>20</v>
      </c>
      <c r="E38" s="6">
        <v>1</v>
      </c>
      <c r="F38" s="6">
        <v>5</v>
      </c>
      <c r="G38" s="10" t="s">
        <v>758</v>
      </c>
      <c r="H38" s="11"/>
      <c r="I38" s="16"/>
      <c r="J38" s="16"/>
      <c r="K38" s="18"/>
    </row>
    <row r="39" spans="1:11">
      <c r="A39" s="5" t="s">
        <v>44</v>
      </c>
      <c r="B39" s="6" t="s">
        <v>842</v>
      </c>
      <c r="C39" s="14" t="s">
        <v>858</v>
      </c>
      <c r="D39" s="8">
        <f t="array" ref="D39">LEN(C39)-SUM((LEN(C39)-LEN(SUBSTITUTE(C39,修饰名称!$E$2:$E$93,修饰名称!$F$2:$F$93))))</f>
        <v>34</v>
      </c>
      <c r="E39" s="6">
        <v>1</v>
      </c>
      <c r="F39" s="6">
        <v>10</v>
      </c>
      <c r="G39" s="10" t="s">
        <v>758</v>
      </c>
      <c r="H39" s="11"/>
      <c r="I39" s="16"/>
      <c r="J39" s="16"/>
      <c r="K39" s="18"/>
    </row>
    <row r="41" spans="1:1">
      <c r="A41" s="15" t="s">
        <v>859</v>
      </c>
    </row>
  </sheetData>
  <dataValidations count="10">
    <dataValidation allowBlank="1" showInputMessage="1" showErrorMessage="1" promptTitle="记入请别做" sqref="A2:A7 A10:A15 A18:A21 A24:A27 A30:A33 A36:A39"/>
    <dataValidation allowBlank="1" showInputMessage="1" showErrorMessage="1" promptTitle="填写说明" prompt="请给定每个Oligo一个唯一的名称，为方便检索。" sqref="B3:B7 B11:B15 B19:B21 B25:B27 B31:B33 B37:B39"/>
    <dataValidation type="textLength" operator="between" allowBlank="1" showInputMessage="1" showErrorMessage="1" promptTitle="序列要求" prompt="一、序列大小写均可以，兼并碱基请用以下代码:R(A,g),Y(C,T),M(A,C),K(g,T),S(g,C),W(A,T),H(A,T,C),B(g,T,C),V(g,A,C),D(g,A,T), N(A,T,g,C)；为配合我们自动录入，序列中请不要使用空格或其它非序列信息符号；&#10;二、如需要中间修饰，请把修饰代码放入序列中您需要标记的位置，多种修饰或多个修饰请依次填写。中间修饰名称及代码请参照 sheet《修饰名称》" sqref="C3:C7 C11:C15 C19:C21 C25:C27 C31:C33 C37:C39">
      <formula1>4</formula1>
      <formula2>150</formula2>
    </dataValidation>
    <dataValidation allowBlank="1" showInputMessage="1" showErrorMessage="1" promptTitle="填写说明" prompt="根据您的实验填写所需的OD量，1 OD ≈ 33μg 一般PCR扩增，20个碱基左右引物2 OD，可以做400-500次50μl标准PCR反应。" sqref="F3:F7 F11:F15 F19:F21 F25:F27 F31:F33 F37:F39"/>
    <dataValidation type="list" allowBlank="1" showInputMessage="1" showErrorMessage="1" promptTitle="填写说明" prompt="请通过下拉框选择适合的Oligo纯化方式" sqref="G3:G7 G14:G15">
      <formula1>"HAP,PAGE,ULTRAPAGE,HPLC,HPLC_CE,IE-HPLC,2X HPLC,PAGE+HPLC"</formula1>
    </dataValidation>
    <dataValidation type="list" allowBlank="1" showInputMessage="1" showErrorMessage="1" promptTitle="填写说明" prompt="请通过下拉框选择适合的Oligo纯化方式" sqref="G11:G13 G19:G21 G25:G27 G31:G33 G37:G39">
      <formula1>"HAP,PAGE,ULTRAPAGE,HPLC,HPLC_CE"</formula1>
    </dataValidation>
    <dataValidation allowBlank="1" showInputMessage="1" showErrorMessage="1" promptTitle="填写说明" prompt="为了便于您使用，我们提供以nmole为产量的合成。通常情况下20个碱基的引物 5 nmoles ≈ 1 OD" sqref="H3:H7 H11:H15 H19:H21 H25:H27 H31:H33 H37:H39"/>
    <dataValidation type="list" allowBlank="1" showInputMessage="1" showErrorMessage="1" sqref="I3:I7 I11:I15 I19:I21 I25:I27 I31:I33 I37:I39">
      <formula1>修饰名称!$A$2:$A$74</formula1>
    </dataValidation>
    <dataValidation type="list" allowBlank="1" showInputMessage="1" showErrorMessage="1" sqref="J3:J7 J11:J15 J19:J21 J25:J27 J31:J33 J37:J39">
      <formula1>修饰名称!$B$2:$B$75</formula1>
    </dataValidation>
    <dataValidation type="list" allowBlank="1" showInputMessage="1" showErrorMessage="1" sqref="K3:K7 K11:K15 K19:K21 K25:K27 K31:K33 K37:K39">
      <formula1>修饰名称!$C$2:$C$49</formula1>
    </dataValidation>
  </dataValidations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Samsung Electronics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引物合成订购表</vt:lpstr>
      <vt:lpstr>修饰名称</vt:lpstr>
      <vt:lpstr>帮助</vt:lpstr>
      <vt:lpstr>填写示例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唐僧洗发用飘柔</cp:lastModifiedBy>
  <cp:revision>1</cp:revision>
  <dcterms:created xsi:type="dcterms:W3CDTF">2006-01-18T06:55:00Z</dcterms:created>
  <cp:lastPrinted>2016-08-29T04:02:00Z</cp:lastPrinted>
  <dcterms:modified xsi:type="dcterms:W3CDTF">2024-03-01T12:23:24Z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BEFD42671246492D8A78EBD11225582F_13</vt:lpwstr>
  </property>
</Properties>
</file>